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3"/>
  <workbookPr/>
  <mc:AlternateContent xmlns:mc="http://schemas.openxmlformats.org/markup-compatibility/2006">
    <mc:Choice Requires="x15">
      <x15ac:absPath xmlns:x15ac="http://schemas.microsoft.com/office/spreadsheetml/2010/11/ac" url="https://saboo365.sharepoint.com/sites/SiteBrasil/EngManufatura/Manutencao/Documentos Compartilhados/0-Mogi Mirim/3-Programação/"/>
    </mc:Choice>
  </mc:AlternateContent>
  <xr:revisionPtr revIDLastSave="1361" documentId="8_{1762CD05-9DFB-4B16-8E8A-6B301FE0E7F8}" xr6:coauthVersionLast="47" xr6:coauthVersionMax="47" xr10:uidLastSave="{5A58A72A-C875-40DE-A0CC-F7EC07E41B65}"/>
  <bookViews>
    <workbookView xWindow="20370" yWindow="-120" windowWidth="20730" windowHeight="11040" firstSheet="4" xr2:uid="{F408D9A8-F83B-4654-93BE-61DD4031F4D6}"/>
  </bookViews>
  <sheets>
    <sheet name="Equipamentos_Realizados" sheetId="4" r:id="rId1"/>
    <sheet name="Cilindro" sheetId="2" r:id="rId2"/>
    <sheet name="Rosca" sheetId="3" r:id="rId3"/>
    <sheet name="Delta" sheetId="5" r:id="rId4"/>
    <sheet name="Dureza" sheetId="6" r:id="rId5"/>
    <sheet name="Guardadas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5" l="1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9" i="5"/>
  <c r="F10" i="5"/>
  <c r="F11" i="5"/>
  <c r="F12" i="5"/>
  <c r="F13" i="5"/>
  <c r="F14" i="5"/>
  <c r="F15" i="5"/>
  <c r="F8" i="5"/>
  <c r="F7" i="5"/>
  <c r="F6" i="5"/>
  <c r="F5" i="5"/>
  <c r="M10" i="2"/>
  <c r="H6" i="3"/>
  <c r="I6" i="3"/>
  <c r="H7" i="3"/>
  <c r="I7" i="3"/>
  <c r="H26" i="3"/>
  <c r="I26" i="3"/>
  <c r="H8" i="3"/>
  <c r="I8" i="3"/>
  <c r="H20" i="3"/>
  <c r="I20" i="3"/>
  <c r="H21" i="3"/>
  <c r="I21" i="3"/>
  <c r="H32" i="3"/>
  <c r="I32" i="3"/>
  <c r="H9" i="3"/>
  <c r="I9" i="3"/>
  <c r="H11" i="3"/>
  <c r="I11" i="3"/>
  <c r="G3" i="4"/>
  <c r="I7" i="2"/>
  <c r="J7" i="2"/>
  <c r="I26" i="2"/>
  <c r="J26" i="2"/>
  <c r="I8" i="2"/>
  <c r="J8" i="2"/>
  <c r="I20" i="2"/>
  <c r="J20" i="2"/>
  <c r="I21" i="2"/>
  <c r="J21" i="2"/>
  <c r="I32" i="2"/>
  <c r="J32" i="2"/>
  <c r="I9" i="2"/>
  <c r="J9" i="2"/>
  <c r="I25" i="2"/>
  <c r="J25" i="2"/>
  <c r="I10" i="2"/>
  <c r="J10" i="2"/>
  <c r="I11" i="2"/>
  <c r="J11" i="2"/>
  <c r="I6" i="2"/>
  <c r="J6" i="2"/>
  <c r="G28" i="4"/>
  <c r="G21" i="4"/>
  <c r="G15" i="4"/>
  <c r="J30" i="2"/>
  <c r="J12" i="2"/>
  <c r="J13" i="2"/>
  <c r="J14" i="2"/>
  <c r="J15" i="2"/>
  <c r="J16" i="2"/>
  <c r="J17" i="2"/>
  <c r="J18" i="2"/>
  <c r="J22" i="2"/>
  <c r="J23" i="2"/>
  <c r="J24" i="2"/>
  <c r="J27" i="2"/>
  <c r="J28" i="2"/>
  <c r="J29" i="2"/>
  <c r="J31" i="2"/>
  <c r="J33" i="2"/>
  <c r="I30" i="2"/>
  <c r="I12" i="2"/>
  <c r="I13" i="2"/>
  <c r="I14" i="2"/>
  <c r="I15" i="2"/>
  <c r="I16" i="2"/>
  <c r="I17" i="2"/>
  <c r="I18" i="2"/>
  <c r="I22" i="2"/>
  <c r="I23" i="2"/>
  <c r="I24" i="2"/>
  <c r="I27" i="2"/>
  <c r="I28" i="2"/>
  <c r="I29" i="2"/>
  <c r="I31" i="2"/>
  <c r="I33" i="2"/>
  <c r="I30" i="3"/>
  <c r="I10" i="3"/>
  <c r="I12" i="3"/>
  <c r="I13" i="3"/>
  <c r="I14" i="3"/>
  <c r="I15" i="3"/>
  <c r="I16" i="3"/>
  <c r="I17" i="3"/>
  <c r="I18" i="3"/>
  <c r="I22" i="3"/>
  <c r="I23" i="3"/>
  <c r="I24" i="3"/>
  <c r="I25" i="3"/>
  <c r="I27" i="3"/>
  <c r="I28" i="3"/>
  <c r="I29" i="3"/>
  <c r="I31" i="3"/>
  <c r="I33" i="3"/>
  <c r="H30" i="3"/>
  <c r="H10" i="3"/>
  <c r="H12" i="3"/>
  <c r="H13" i="3"/>
  <c r="H14" i="3"/>
  <c r="H15" i="3"/>
  <c r="H16" i="3"/>
  <c r="H17" i="3"/>
  <c r="H18" i="3"/>
  <c r="H22" i="3"/>
  <c r="H23" i="3"/>
  <c r="H24" i="3"/>
  <c r="H25" i="3"/>
  <c r="H27" i="3"/>
  <c r="H28" i="3"/>
  <c r="H29" i="3"/>
  <c r="H31" i="3"/>
  <c r="H33" i="3"/>
  <c r="G27" i="4"/>
  <c r="G26" i="4"/>
  <c r="G25" i="4"/>
  <c r="G23" i="4"/>
  <c r="G22" i="4"/>
  <c r="G19" i="4"/>
  <c r="G13" i="4"/>
  <c r="G11" i="4"/>
  <c r="G7" i="4"/>
  <c r="G5" i="4"/>
  <c r="G9" i="4"/>
  <c r="G12" i="4"/>
  <c r="G8" i="4"/>
  <c r="G16" i="4"/>
  <c r="G4" i="4"/>
  <c r="G10" i="4"/>
  <c r="G14" i="4"/>
  <c r="G18" i="4"/>
  <c r="G20" i="4"/>
  <c r="G24" i="4"/>
  <c r="G29" i="4"/>
  <c r="G17" i="4"/>
  <c r="G6" i="4"/>
</calcChain>
</file>

<file path=xl/sharedStrings.xml><?xml version="1.0" encoding="utf-8"?>
<sst xmlns="http://schemas.openxmlformats.org/spreadsheetml/2006/main" count="361" uniqueCount="106">
  <si>
    <t>Equipamento</t>
  </si>
  <si>
    <t>Data execução - 2024</t>
  </si>
  <si>
    <t>Data execução - 2023</t>
  </si>
  <si>
    <t>Dias</t>
  </si>
  <si>
    <t>*Movimentos do STK fora utilização PV's</t>
  </si>
  <si>
    <t>Somente 1 - IJ-125 em 20/11/2023</t>
  </si>
  <si>
    <t>IJ-044</t>
  </si>
  <si>
    <t>*Terminar as dimensões</t>
  </si>
  <si>
    <t>IJ-046</t>
  </si>
  <si>
    <t>*Informações sobre equipamentos - injs/injif</t>
  </si>
  <si>
    <t>IJ-117</t>
  </si>
  <si>
    <t>*Tipo composto rodando no equipamento</t>
  </si>
  <si>
    <t>IJ-118</t>
  </si>
  <si>
    <t>*Qntd cavidades do equipamento</t>
  </si>
  <si>
    <t>IJ-119</t>
  </si>
  <si>
    <t>*Medição fuso REP x Original</t>
  </si>
  <si>
    <t>IJ-120</t>
  </si>
  <si>
    <t>*Delta entre menor medida de um e maior do outro</t>
  </si>
  <si>
    <t>IJ-121</t>
  </si>
  <si>
    <t>*Delta de fabricação LGMT</t>
  </si>
  <si>
    <t>IJ-122</t>
  </si>
  <si>
    <t>*Delta de fusos usados</t>
  </si>
  <si>
    <t>IJ-123</t>
  </si>
  <si>
    <t>*Delta de um original REP</t>
  </si>
  <si>
    <t>IJ-124</t>
  </si>
  <si>
    <t>*Dureza fuso(rosca) novo x pior usado</t>
  </si>
  <si>
    <t>CSS Prime</t>
  </si>
  <si>
    <t>IJ-125</t>
  </si>
  <si>
    <t>*Verificar riscos na crista do fuso(rugosidade)</t>
  </si>
  <si>
    <t>IJ-129</t>
  </si>
  <si>
    <t>*Espessura dureza</t>
  </si>
  <si>
    <t>IJ-130</t>
  </si>
  <si>
    <t>*Nº OS LGMT na planilha</t>
  </si>
  <si>
    <t>IJ-131</t>
  </si>
  <si>
    <t>IJ-132</t>
  </si>
  <si>
    <t>IJ-133</t>
  </si>
  <si>
    <t>IJ-134</t>
  </si>
  <si>
    <t>IJ-135</t>
  </si>
  <si>
    <t>IJ-136</t>
  </si>
  <si>
    <t>IJ-137</t>
  </si>
  <si>
    <t>IJ-138</t>
  </si>
  <si>
    <t>IJ-139</t>
  </si>
  <si>
    <t>IJ-151</t>
  </si>
  <si>
    <t>IJ-152</t>
  </si>
  <si>
    <t>IJ-155</t>
  </si>
  <si>
    <t>IJ-156</t>
  </si>
  <si>
    <t>IJ-164</t>
  </si>
  <si>
    <t>Real</t>
  </si>
  <si>
    <t>Tolerância</t>
  </si>
  <si>
    <t>-0,0</t>
  </si>
  <si>
    <t>+0,02</t>
  </si>
  <si>
    <t>A</t>
  </si>
  <si>
    <t>B</t>
  </si>
  <si>
    <t>C</t>
  </si>
  <si>
    <t>D</t>
  </si>
  <si>
    <t>E</t>
  </si>
  <si>
    <t>Máximo</t>
  </si>
  <si>
    <t>Mínimo</t>
  </si>
  <si>
    <t>equipamentos</t>
  </si>
  <si>
    <t>*</t>
  </si>
  <si>
    <t>**</t>
  </si>
  <si>
    <t>***</t>
  </si>
  <si>
    <t>Pontos medidos</t>
  </si>
  <si>
    <t>"OK"</t>
  </si>
  <si>
    <t>Súbito + micrômetro</t>
  </si>
  <si>
    <t>Não OK</t>
  </si>
  <si>
    <t>-</t>
  </si>
  <si>
    <t>IJ-155 INF</t>
  </si>
  <si>
    <t>IJ-155 SUP</t>
  </si>
  <si>
    <t>-0,02</t>
  </si>
  <si>
    <t>+0,00</t>
  </si>
  <si>
    <t>Dúvidas</t>
  </si>
  <si>
    <t>x</t>
  </si>
  <si>
    <t>Projetor perfil / Máquina 3D</t>
  </si>
  <si>
    <t>LGMT</t>
  </si>
  <si>
    <t>DELTA</t>
  </si>
  <si>
    <t>CAMISA</t>
  </si>
  <si>
    <t>ROSCA</t>
  </si>
  <si>
    <t>Maximo</t>
  </si>
  <si>
    <t>Minimo</t>
  </si>
  <si>
    <t>REP</t>
  </si>
  <si>
    <t>Delta</t>
  </si>
  <si>
    <t>Original (REP)</t>
  </si>
  <si>
    <t>Medição</t>
  </si>
  <si>
    <t>&gt;53Hrc</t>
  </si>
  <si>
    <t>55Hrc</t>
  </si>
  <si>
    <t>53RC</t>
  </si>
  <si>
    <t>56RC</t>
  </si>
  <si>
    <t>60Hrc</t>
  </si>
  <si>
    <t>47Hrc</t>
  </si>
  <si>
    <t>??</t>
  </si>
  <si>
    <t>29Hrc</t>
  </si>
  <si>
    <t>52 Hrc</t>
  </si>
  <si>
    <t>56Hrc</t>
  </si>
  <si>
    <t>50Hrc</t>
  </si>
  <si>
    <t>54Hrc</t>
  </si>
  <si>
    <t>59Hrc</t>
  </si>
  <si>
    <t>58Hrc</t>
  </si>
  <si>
    <t>62Hrc</t>
  </si>
  <si>
    <t>49Hrc</t>
  </si>
  <si>
    <t>32Hrc</t>
  </si>
  <si>
    <t>60 HRC</t>
  </si>
  <si>
    <t>59 HRC</t>
  </si>
  <si>
    <t>54 HRC</t>
  </si>
  <si>
    <t>62 HRC</t>
  </si>
  <si>
    <t>56 HRC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</si>
</sst>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i/>
      <u/>
      <sz val="13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rial"/>
    </font>
    <font>
      <sz val="11"/>
      <color theme="1"/>
      <name val="Arial"/>
      <family val="2"/>
    </font>
    <font>
      <b/>
      <i/>
      <u/>
      <sz val="13"/>
      <color theme="1"/>
      <name val="Arial"/>
    </font>
    <font>
      <b/>
      <u/>
      <sz val="12"/>
      <color theme="1"/>
      <name val="Arial"/>
    </font>
    <font>
      <b/>
      <i/>
      <u/>
      <sz val="12"/>
      <color theme="1"/>
      <name val="Arial"/>
    </font>
    <font>
      <b/>
      <i/>
      <u/>
      <sz val="14"/>
      <color theme="1"/>
      <name val="Arial"/>
    </font>
    <font>
      <i/>
      <u/>
      <sz val="13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" fontId="1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" fontId="1" fillId="0" borderId="2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5"/>
          <c:tx>
            <c:strRef>
              <c:f>Cilindro!$I$5</c:f>
              <c:strCache>
                <c:ptCount val="1"/>
                <c:pt idx="0">
                  <c:v>Máximo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Cilindro!$C$6:$C$22</c:f>
              <c:strCache>
                <c:ptCount val="17"/>
                <c:pt idx="0">
                  <c:v>*</c:v>
                </c:pt>
                <c:pt idx="1">
                  <c:v>**</c:v>
                </c:pt>
                <c:pt idx="2">
                  <c:v>***</c:v>
                </c:pt>
                <c:pt idx="3">
                  <c:v>IJ-044</c:v>
                </c:pt>
                <c:pt idx="4">
                  <c:v>IJ-046</c:v>
                </c:pt>
                <c:pt idx="5">
                  <c:v>IJ-117</c:v>
                </c:pt>
                <c:pt idx="6">
                  <c:v>IJ-118</c:v>
                </c:pt>
                <c:pt idx="7">
                  <c:v>IJ-119</c:v>
                </c:pt>
                <c:pt idx="8">
                  <c:v>IJ-120</c:v>
                </c:pt>
                <c:pt idx="9">
                  <c:v>IJ-121</c:v>
                </c:pt>
                <c:pt idx="10">
                  <c:v>IJ-122</c:v>
                </c:pt>
                <c:pt idx="11">
                  <c:v>IJ-123</c:v>
                </c:pt>
                <c:pt idx="12">
                  <c:v>IJ-124</c:v>
                </c:pt>
                <c:pt idx="13">
                  <c:v>IJ-125</c:v>
                </c:pt>
                <c:pt idx="14">
                  <c:v>IJ-129</c:v>
                </c:pt>
                <c:pt idx="15">
                  <c:v>IJ-130</c:v>
                </c:pt>
                <c:pt idx="16">
                  <c:v>IJ-131</c:v>
                </c:pt>
              </c:strCache>
            </c:strRef>
          </c:cat>
          <c:val>
            <c:numRef>
              <c:f>Cilindro!$I$6:$I$22</c:f>
              <c:numCache>
                <c:formatCode>General</c:formatCode>
                <c:ptCount val="17"/>
                <c:pt idx="0">
                  <c:v>20.25</c:v>
                </c:pt>
                <c:pt idx="1">
                  <c:v>20.03</c:v>
                </c:pt>
                <c:pt idx="2">
                  <c:v>20.05</c:v>
                </c:pt>
                <c:pt idx="3">
                  <c:v>20.05</c:v>
                </c:pt>
                <c:pt idx="4">
                  <c:v>20.149999999999999</c:v>
                </c:pt>
                <c:pt idx="5">
                  <c:v>20.05</c:v>
                </c:pt>
                <c:pt idx="6">
                  <c:v>20.170000000000002</c:v>
                </c:pt>
                <c:pt idx="7">
                  <c:v>20.25</c:v>
                </c:pt>
                <c:pt idx="8">
                  <c:v>20.07</c:v>
                </c:pt>
                <c:pt idx="9">
                  <c:v>20.04</c:v>
                </c:pt>
                <c:pt idx="10">
                  <c:v>20.149999999999999</c:v>
                </c:pt>
                <c:pt idx="11">
                  <c:v>20.05</c:v>
                </c:pt>
                <c:pt idx="12">
                  <c:v>20.05</c:v>
                </c:pt>
                <c:pt idx="13">
                  <c:v>0</c:v>
                </c:pt>
                <c:pt idx="14">
                  <c:v>20.059999999999999</c:v>
                </c:pt>
                <c:pt idx="15">
                  <c:v>20.079999999999998</c:v>
                </c:pt>
                <c:pt idx="16">
                  <c:v>20.04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E70-4E91-852B-300FCDBB86E2}"/>
            </c:ext>
          </c:extLst>
        </c:ser>
        <c:ser>
          <c:idx val="6"/>
          <c:order val="6"/>
          <c:tx>
            <c:strRef>
              <c:f>Cilindro!$J$5</c:f>
              <c:strCache>
                <c:ptCount val="1"/>
                <c:pt idx="0">
                  <c:v>Mínimo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Cilindro!$C$6:$C$22</c:f>
              <c:strCache>
                <c:ptCount val="17"/>
                <c:pt idx="0">
                  <c:v>*</c:v>
                </c:pt>
                <c:pt idx="1">
                  <c:v>**</c:v>
                </c:pt>
                <c:pt idx="2">
                  <c:v>***</c:v>
                </c:pt>
                <c:pt idx="3">
                  <c:v>IJ-044</c:v>
                </c:pt>
                <c:pt idx="4">
                  <c:v>IJ-046</c:v>
                </c:pt>
                <c:pt idx="5">
                  <c:v>IJ-117</c:v>
                </c:pt>
                <c:pt idx="6">
                  <c:v>IJ-118</c:v>
                </c:pt>
                <c:pt idx="7">
                  <c:v>IJ-119</c:v>
                </c:pt>
                <c:pt idx="8">
                  <c:v>IJ-120</c:v>
                </c:pt>
                <c:pt idx="9">
                  <c:v>IJ-121</c:v>
                </c:pt>
                <c:pt idx="10">
                  <c:v>IJ-122</c:v>
                </c:pt>
                <c:pt idx="11">
                  <c:v>IJ-123</c:v>
                </c:pt>
                <c:pt idx="12">
                  <c:v>IJ-124</c:v>
                </c:pt>
                <c:pt idx="13">
                  <c:v>IJ-125</c:v>
                </c:pt>
                <c:pt idx="14">
                  <c:v>IJ-129</c:v>
                </c:pt>
                <c:pt idx="15">
                  <c:v>IJ-130</c:v>
                </c:pt>
                <c:pt idx="16">
                  <c:v>IJ-131</c:v>
                </c:pt>
              </c:strCache>
            </c:strRef>
          </c:cat>
          <c:val>
            <c:numRef>
              <c:f>Cilindro!$J$6:$J$22</c:f>
              <c:numCache>
                <c:formatCode>General</c:formatCode>
                <c:ptCount val="17"/>
                <c:pt idx="0">
                  <c:v>20.12</c:v>
                </c:pt>
                <c:pt idx="1">
                  <c:v>20.010000000000002</c:v>
                </c:pt>
                <c:pt idx="2">
                  <c:v>20.010000000000002</c:v>
                </c:pt>
                <c:pt idx="3">
                  <c:v>20.05</c:v>
                </c:pt>
                <c:pt idx="4">
                  <c:v>20.059999999999999</c:v>
                </c:pt>
                <c:pt idx="5">
                  <c:v>20.03</c:v>
                </c:pt>
                <c:pt idx="6">
                  <c:v>20.02</c:v>
                </c:pt>
                <c:pt idx="7">
                  <c:v>20.04</c:v>
                </c:pt>
                <c:pt idx="8">
                  <c:v>20.04</c:v>
                </c:pt>
                <c:pt idx="9">
                  <c:v>20</c:v>
                </c:pt>
                <c:pt idx="10">
                  <c:v>20.02</c:v>
                </c:pt>
                <c:pt idx="11">
                  <c:v>20.02</c:v>
                </c:pt>
                <c:pt idx="12">
                  <c:v>20.04</c:v>
                </c:pt>
                <c:pt idx="13">
                  <c:v>0</c:v>
                </c:pt>
                <c:pt idx="14">
                  <c:v>20.04</c:v>
                </c:pt>
                <c:pt idx="15">
                  <c:v>20.04</c:v>
                </c:pt>
                <c:pt idx="16">
                  <c:v>20.010000000000002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E70-4E91-852B-300FCDBB8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1063503"/>
        <c:axId val="901063023"/>
      </c:lineChart>
      <c:scatterChart>
        <c:scatterStyle val="lineMarker"/>
        <c:varyColors val="0"/>
        <c:ser>
          <c:idx val="4"/>
          <c:order val="4"/>
          <c:tx>
            <c:strRef>
              <c:f>Cilindro!$H$5</c:f>
              <c:strCache>
                <c:ptCount val="1"/>
                <c:pt idx="0">
                  <c:v>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Cilindro!$C$6:$C$22</c:f>
              <c:strCache>
                <c:ptCount val="17"/>
                <c:pt idx="0">
                  <c:v>*</c:v>
                </c:pt>
                <c:pt idx="1">
                  <c:v>**</c:v>
                </c:pt>
                <c:pt idx="2">
                  <c:v>***</c:v>
                </c:pt>
                <c:pt idx="3">
                  <c:v>IJ-044</c:v>
                </c:pt>
                <c:pt idx="4">
                  <c:v>IJ-046</c:v>
                </c:pt>
                <c:pt idx="5">
                  <c:v>IJ-117</c:v>
                </c:pt>
                <c:pt idx="6">
                  <c:v>IJ-118</c:v>
                </c:pt>
                <c:pt idx="7">
                  <c:v>IJ-119</c:v>
                </c:pt>
                <c:pt idx="8">
                  <c:v>IJ-120</c:v>
                </c:pt>
                <c:pt idx="9">
                  <c:v>IJ-121</c:v>
                </c:pt>
                <c:pt idx="10">
                  <c:v>IJ-122</c:v>
                </c:pt>
                <c:pt idx="11">
                  <c:v>IJ-123</c:v>
                </c:pt>
                <c:pt idx="12">
                  <c:v>IJ-124</c:v>
                </c:pt>
                <c:pt idx="13">
                  <c:v>IJ-125</c:v>
                </c:pt>
                <c:pt idx="14">
                  <c:v>IJ-129</c:v>
                </c:pt>
                <c:pt idx="15">
                  <c:v>IJ-130</c:v>
                </c:pt>
                <c:pt idx="16">
                  <c:v>IJ-131</c:v>
                </c:pt>
              </c:strCache>
            </c:strRef>
          </c:xVal>
          <c:yVal>
            <c:numRef>
              <c:f>Cilindro!$H$6:$H$22</c:f>
              <c:numCache>
                <c:formatCode>General</c:formatCode>
                <c:ptCount val="17"/>
                <c:pt idx="0">
                  <c:v>20.25</c:v>
                </c:pt>
                <c:pt idx="1">
                  <c:v>20.03</c:v>
                </c:pt>
                <c:pt idx="2">
                  <c:v>20.05</c:v>
                </c:pt>
                <c:pt idx="3">
                  <c:v>20.05</c:v>
                </c:pt>
                <c:pt idx="4">
                  <c:v>20.149999999999999</c:v>
                </c:pt>
                <c:pt idx="5">
                  <c:v>20.03</c:v>
                </c:pt>
                <c:pt idx="6">
                  <c:v>20.170000000000002</c:v>
                </c:pt>
                <c:pt idx="7">
                  <c:v>20.25</c:v>
                </c:pt>
                <c:pt idx="8">
                  <c:v>20.07</c:v>
                </c:pt>
                <c:pt idx="9">
                  <c:v>20.010000000000002</c:v>
                </c:pt>
                <c:pt idx="10">
                  <c:v>20.149999999999999</c:v>
                </c:pt>
                <c:pt idx="11">
                  <c:v>20.05</c:v>
                </c:pt>
                <c:pt idx="12">
                  <c:v>20.05</c:v>
                </c:pt>
                <c:pt idx="13">
                  <c:v>0</c:v>
                </c:pt>
                <c:pt idx="14">
                  <c:v>20.059999999999999</c:v>
                </c:pt>
                <c:pt idx="15">
                  <c:v>20.079999999999998</c:v>
                </c:pt>
                <c:pt idx="16">
                  <c:v>20.04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70-4E91-852B-300FCDBB8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1571743"/>
        <c:axId val="1521572223"/>
      </c:scatterChart>
      <c:scatterChart>
        <c:scatterStyle val="lineMarker"/>
        <c:varyColors val="0"/>
        <c:ser>
          <c:idx val="0"/>
          <c:order val="0"/>
          <c:tx>
            <c:strRef>
              <c:f>Cilindro!$D$5</c:f>
              <c:strCache>
                <c:ptCount val="1"/>
                <c:pt idx="0">
                  <c:v>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Cilindro!$C$6:$C$22</c:f>
              <c:strCache>
                <c:ptCount val="17"/>
                <c:pt idx="0">
                  <c:v>*</c:v>
                </c:pt>
                <c:pt idx="1">
                  <c:v>**</c:v>
                </c:pt>
                <c:pt idx="2">
                  <c:v>***</c:v>
                </c:pt>
                <c:pt idx="3">
                  <c:v>IJ-044</c:v>
                </c:pt>
                <c:pt idx="4">
                  <c:v>IJ-046</c:v>
                </c:pt>
                <c:pt idx="5">
                  <c:v>IJ-117</c:v>
                </c:pt>
                <c:pt idx="6">
                  <c:v>IJ-118</c:v>
                </c:pt>
                <c:pt idx="7">
                  <c:v>IJ-119</c:v>
                </c:pt>
                <c:pt idx="8">
                  <c:v>IJ-120</c:v>
                </c:pt>
                <c:pt idx="9">
                  <c:v>IJ-121</c:v>
                </c:pt>
                <c:pt idx="10">
                  <c:v>IJ-122</c:v>
                </c:pt>
                <c:pt idx="11">
                  <c:v>IJ-123</c:v>
                </c:pt>
                <c:pt idx="12">
                  <c:v>IJ-124</c:v>
                </c:pt>
                <c:pt idx="13">
                  <c:v>IJ-125</c:v>
                </c:pt>
                <c:pt idx="14">
                  <c:v>IJ-129</c:v>
                </c:pt>
                <c:pt idx="15">
                  <c:v>IJ-130</c:v>
                </c:pt>
                <c:pt idx="16">
                  <c:v>IJ-131</c:v>
                </c:pt>
              </c:strCache>
            </c:strRef>
          </c:xVal>
          <c:yVal>
            <c:numRef>
              <c:f>Cilindro!$D$6:$D$22</c:f>
              <c:numCache>
                <c:formatCode>General</c:formatCode>
                <c:ptCount val="17"/>
                <c:pt idx="0">
                  <c:v>20.12</c:v>
                </c:pt>
                <c:pt idx="1">
                  <c:v>20.010000000000002</c:v>
                </c:pt>
                <c:pt idx="2">
                  <c:v>20.010000000000002</c:v>
                </c:pt>
                <c:pt idx="3">
                  <c:v>20.05</c:v>
                </c:pt>
                <c:pt idx="4">
                  <c:v>20.059999999999999</c:v>
                </c:pt>
                <c:pt idx="5">
                  <c:v>20.05</c:v>
                </c:pt>
                <c:pt idx="6">
                  <c:v>20.02</c:v>
                </c:pt>
                <c:pt idx="7">
                  <c:v>20.04</c:v>
                </c:pt>
                <c:pt idx="8">
                  <c:v>20.04</c:v>
                </c:pt>
                <c:pt idx="9">
                  <c:v>20.04</c:v>
                </c:pt>
                <c:pt idx="10">
                  <c:v>20.02</c:v>
                </c:pt>
                <c:pt idx="11">
                  <c:v>20.02</c:v>
                </c:pt>
                <c:pt idx="12">
                  <c:v>20.04</c:v>
                </c:pt>
                <c:pt idx="13">
                  <c:v>0</c:v>
                </c:pt>
                <c:pt idx="14">
                  <c:v>20.04</c:v>
                </c:pt>
                <c:pt idx="15">
                  <c:v>20.04</c:v>
                </c:pt>
                <c:pt idx="16">
                  <c:v>20.04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70-4E91-852B-300FCDBB86E2}"/>
            </c:ext>
          </c:extLst>
        </c:ser>
        <c:ser>
          <c:idx val="1"/>
          <c:order val="1"/>
          <c:tx>
            <c:strRef>
              <c:f>Cilindro!$E$5</c:f>
              <c:strCache>
                <c:ptCount val="1"/>
                <c:pt idx="0">
                  <c:v>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Cilindro!$C$6:$C$22</c:f>
              <c:strCache>
                <c:ptCount val="17"/>
                <c:pt idx="0">
                  <c:v>*</c:v>
                </c:pt>
                <c:pt idx="1">
                  <c:v>**</c:v>
                </c:pt>
                <c:pt idx="2">
                  <c:v>***</c:v>
                </c:pt>
                <c:pt idx="3">
                  <c:v>IJ-044</c:v>
                </c:pt>
                <c:pt idx="4">
                  <c:v>IJ-046</c:v>
                </c:pt>
                <c:pt idx="5">
                  <c:v>IJ-117</c:v>
                </c:pt>
                <c:pt idx="6">
                  <c:v>IJ-118</c:v>
                </c:pt>
                <c:pt idx="7">
                  <c:v>IJ-119</c:v>
                </c:pt>
                <c:pt idx="8">
                  <c:v>IJ-120</c:v>
                </c:pt>
                <c:pt idx="9">
                  <c:v>IJ-121</c:v>
                </c:pt>
                <c:pt idx="10">
                  <c:v>IJ-122</c:v>
                </c:pt>
                <c:pt idx="11">
                  <c:v>IJ-123</c:v>
                </c:pt>
                <c:pt idx="12">
                  <c:v>IJ-124</c:v>
                </c:pt>
                <c:pt idx="13">
                  <c:v>IJ-125</c:v>
                </c:pt>
                <c:pt idx="14">
                  <c:v>IJ-129</c:v>
                </c:pt>
                <c:pt idx="15">
                  <c:v>IJ-130</c:v>
                </c:pt>
                <c:pt idx="16">
                  <c:v>IJ-131</c:v>
                </c:pt>
              </c:strCache>
            </c:strRef>
          </c:xVal>
          <c:yVal>
            <c:numRef>
              <c:f>Cilindro!$E$6:$E$22</c:f>
              <c:numCache>
                <c:formatCode>General</c:formatCode>
                <c:ptCount val="17"/>
                <c:pt idx="0">
                  <c:v>20.14</c:v>
                </c:pt>
                <c:pt idx="1">
                  <c:v>20.02</c:v>
                </c:pt>
                <c:pt idx="2">
                  <c:v>20.03</c:v>
                </c:pt>
                <c:pt idx="3">
                  <c:v>20.05</c:v>
                </c:pt>
                <c:pt idx="4">
                  <c:v>20.07</c:v>
                </c:pt>
                <c:pt idx="5">
                  <c:v>20.03</c:v>
                </c:pt>
                <c:pt idx="6">
                  <c:v>20.059999999999999</c:v>
                </c:pt>
                <c:pt idx="7">
                  <c:v>20.07</c:v>
                </c:pt>
                <c:pt idx="8">
                  <c:v>20.04</c:v>
                </c:pt>
                <c:pt idx="9">
                  <c:v>20</c:v>
                </c:pt>
                <c:pt idx="10">
                  <c:v>20.12</c:v>
                </c:pt>
                <c:pt idx="11">
                  <c:v>20.03</c:v>
                </c:pt>
                <c:pt idx="12">
                  <c:v>20.04</c:v>
                </c:pt>
                <c:pt idx="13">
                  <c:v>0</c:v>
                </c:pt>
                <c:pt idx="14">
                  <c:v>20.05</c:v>
                </c:pt>
                <c:pt idx="15">
                  <c:v>20.05</c:v>
                </c:pt>
                <c:pt idx="16">
                  <c:v>20.010000000000002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70-4E91-852B-300FCDBB86E2}"/>
            </c:ext>
          </c:extLst>
        </c:ser>
        <c:ser>
          <c:idx val="2"/>
          <c:order val="2"/>
          <c:tx>
            <c:strRef>
              <c:f>Cilindro!$F$5</c:f>
              <c:strCache>
                <c:ptCount val="1"/>
                <c:pt idx="0">
                  <c:v>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Cilindro!$C$6:$C$22</c:f>
              <c:strCache>
                <c:ptCount val="17"/>
                <c:pt idx="0">
                  <c:v>*</c:v>
                </c:pt>
                <c:pt idx="1">
                  <c:v>**</c:v>
                </c:pt>
                <c:pt idx="2">
                  <c:v>***</c:v>
                </c:pt>
                <c:pt idx="3">
                  <c:v>IJ-044</c:v>
                </c:pt>
                <c:pt idx="4">
                  <c:v>IJ-046</c:v>
                </c:pt>
                <c:pt idx="5">
                  <c:v>IJ-117</c:v>
                </c:pt>
                <c:pt idx="6">
                  <c:v>IJ-118</c:v>
                </c:pt>
                <c:pt idx="7">
                  <c:v>IJ-119</c:v>
                </c:pt>
                <c:pt idx="8">
                  <c:v>IJ-120</c:v>
                </c:pt>
                <c:pt idx="9">
                  <c:v>IJ-121</c:v>
                </c:pt>
                <c:pt idx="10">
                  <c:v>IJ-122</c:v>
                </c:pt>
                <c:pt idx="11">
                  <c:v>IJ-123</c:v>
                </c:pt>
                <c:pt idx="12">
                  <c:v>IJ-124</c:v>
                </c:pt>
                <c:pt idx="13">
                  <c:v>IJ-125</c:v>
                </c:pt>
                <c:pt idx="14">
                  <c:v>IJ-129</c:v>
                </c:pt>
                <c:pt idx="15">
                  <c:v>IJ-130</c:v>
                </c:pt>
                <c:pt idx="16">
                  <c:v>IJ-131</c:v>
                </c:pt>
              </c:strCache>
            </c:strRef>
          </c:xVal>
          <c:yVal>
            <c:numRef>
              <c:f>Cilindro!$F$6:$F$22</c:f>
              <c:numCache>
                <c:formatCode>General</c:formatCode>
                <c:ptCount val="17"/>
                <c:pt idx="0">
                  <c:v>20.2</c:v>
                </c:pt>
                <c:pt idx="1">
                  <c:v>20.03</c:v>
                </c:pt>
                <c:pt idx="2">
                  <c:v>20.03</c:v>
                </c:pt>
                <c:pt idx="3">
                  <c:v>20.05</c:v>
                </c:pt>
                <c:pt idx="4">
                  <c:v>20.100000000000001</c:v>
                </c:pt>
                <c:pt idx="5">
                  <c:v>20.03</c:v>
                </c:pt>
                <c:pt idx="6">
                  <c:v>20.07</c:v>
                </c:pt>
                <c:pt idx="7">
                  <c:v>20.13</c:v>
                </c:pt>
                <c:pt idx="8">
                  <c:v>20.05</c:v>
                </c:pt>
                <c:pt idx="9">
                  <c:v>20.010000000000002</c:v>
                </c:pt>
                <c:pt idx="10">
                  <c:v>20.14</c:v>
                </c:pt>
                <c:pt idx="11">
                  <c:v>20.02</c:v>
                </c:pt>
                <c:pt idx="12">
                  <c:v>20.04</c:v>
                </c:pt>
                <c:pt idx="13">
                  <c:v>0</c:v>
                </c:pt>
                <c:pt idx="14">
                  <c:v>20.05</c:v>
                </c:pt>
                <c:pt idx="15">
                  <c:v>20.059999999999999</c:v>
                </c:pt>
                <c:pt idx="16">
                  <c:v>20.02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70-4E91-852B-300FCDBB86E2}"/>
            </c:ext>
          </c:extLst>
        </c:ser>
        <c:ser>
          <c:idx val="3"/>
          <c:order val="3"/>
          <c:tx>
            <c:strRef>
              <c:f>Cilindro!$G$5</c:f>
              <c:strCache>
                <c:ptCount val="1"/>
                <c:pt idx="0">
                  <c:v>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Cilindro!$C$6:$C$22</c:f>
              <c:strCache>
                <c:ptCount val="17"/>
                <c:pt idx="0">
                  <c:v>*</c:v>
                </c:pt>
                <c:pt idx="1">
                  <c:v>**</c:v>
                </c:pt>
                <c:pt idx="2">
                  <c:v>***</c:v>
                </c:pt>
                <c:pt idx="3">
                  <c:v>IJ-044</c:v>
                </c:pt>
                <c:pt idx="4">
                  <c:v>IJ-046</c:v>
                </c:pt>
                <c:pt idx="5">
                  <c:v>IJ-117</c:v>
                </c:pt>
                <c:pt idx="6">
                  <c:v>IJ-118</c:v>
                </c:pt>
                <c:pt idx="7">
                  <c:v>IJ-119</c:v>
                </c:pt>
                <c:pt idx="8">
                  <c:v>IJ-120</c:v>
                </c:pt>
                <c:pt idx="9">
                  <c:v>IJ-121</c:v>
                </c:pt>
                <c:pt idx="10">
                  <c:v>IJ-122</c:v>
                </c:pt>
                <c:pt idx="11">
                  <c:v>IJ-123</c:v>
                </c:pt>
                <c:pt idx="12">
                  <c:v>IJ-124</c:v>
                </c:pt>
                <c:pt idx="13">
                  <c:v>IJ-125</c:v>
                </c:pt>
                <c:pt idx="14">
                  <c:v>IJ-129</c:v>
                </c:pt>
                <c:pt idx="15">
                  <c:v>IJ-130</c:v>
                </c:pt>
                <c:pt idx="16">
                  <c:v>IJ-131</c:v>
                </c:pt>
              </c:strCache>
            </c:strRef>
          </c:xVal>
          <c:yVal>
            <c:numRef>
              <c:f>Cilindro!$G$6:$G$22</c:f>
              <c:numCache>
                <c:formatCode>General</c:formatCode>
                <c:ptCount val="17"/>
                <c:pt idx="0">
                  <c:v>20.25</c:v>
                </c:pt>
                <c:pt idx="1">
                  <c:v>20.03</c:v>
                </c:pt>
                <c:pt idx="2">
                  <c:v>20.04</c:v>
                </c:pt>
                <c:pt idx="3">
                  <c:v>20.05</c:v>
                </c:pt>
                <c:pt idx="4">
                  <c:v>20.11</c:v>
                </c:pt>
                <c:pt idx="5">
                  <c:v>20.03</c:v>
                </c:pt>
                <c:pt idx="6">
                  <c:v>20.12</c:v>
                </c:pt>
                <c:pt idx="7">
                  <c:v>20.16</c:v>
                </c:pt>
                <c:pt idx="8">
                  <c:v>20.059999999999999</c:v>
                </c:pt>
                <c:pt idx="9">
                  <c:v>20.010000000000002</c:v>
                </c:pt>
                <c:pt idx="10">
                  <c:v>20.14</c:v>
                </c:pt>
                <c:pt idx="11">
                  <c:v>20.04</c:v>
                </c:pt>
                <c:pt idx="12">
                  <c:v>20.04</c:v>
                </c:pt>
                <c:pt idx="13">
                  <c:v>0</c:v>
                </c:pt>
                <c:pt idx="14">
                  <c:v>20.05</c:v>
                </c:pt>
                <c:pt idx="15">
                  <c:v>20.059999999999999</c:v>
                </c:pt>
                <c:pt idx="16">
                  <c:v>20.03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70-4E91-852B-300FCDBB8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1063503"/>
        <c:axId val="901063023"/>
      </c:scatterChart>
      <c:valAx>
        <c:axId val="1521571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572223"/>
        <c:crosses val="autoZero"/>
        <c:crossBetween val="midCat"/>
      </c:valAx>
      <c:valAx>
        <c:axId val="152157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571743"/>
        <c:crosses val="autoZero"/>
        <c:crossBetween val="midCat"/>
        <c:majorUnit val="1.0000000000000002E-2"/>
        <c:minorUnit val="1.0000000000000002E-2"/>
      </c:valAx>
      <c:valAx>
        <c:axId val="901063023"/>
        <c:scaling>
          <c:orientation val="minMax"/>
          <c:max val="20.5"/>
          <c:min val="19.979999999999997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063503"/>
        <c:crosses val="max"/>
        <c:crossBetween val="between"/>
        <c:majorUnit val="1.0000000000000002E-2"/>
        <c:minorUnit val="1.0000000000000002E-2"/>
      </c:valAx>
      <c:catAx>
        <c:axId val="901063503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063023"/>
        <c:crosses val="max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441048</xdr:colOff>
      <xdr:row>35</xdr:row>
      <xdr:rowOff>160297</xdr:rowOff>
    </xdr:from>
    <xdr:to>
      <xdr:col>13</xdr:col>
      <xdr:colOff>235883</xdr:colOff>
      <xdr:row>70</xdr:row>
      <xdr:rowOff>97491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2C12C15-FB6A-D381-246D-1B43FDAA5C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190500</xdr:colOff>
      <xdr:row>10</xdr:row>
      <xdr:rowOff>152400</xdr:rowOff>
    </xdr:from>
    <xdr:to>
      <xdr:col>19</xdr:col>
      <xdr:colOff>409575</xdr:colOff>
      <xdr:row>22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DF117A3-B40D-6109-86EC-3AC4E55B3BEE}"/>
            </a:ext>
            <a:ext uri="{147F2762-F138-4A5C-976F-8EAC2B608ADB}">
              <a16:predDERef xmlns:a16="http://schemas.microsoft.com/office/drawing/2014/main" pred="{52C12C15-FB6A-D381-246D-1B43FDAA5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91600" y="2076450"/>
          <a:ext cx="6562725" cy="228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28575</xdr:colOff>
      <xdr:row>14</xdr:row>
      <xdr:rowOff>0</xdr:rowOff>
    </xdr:from>
    <xdr:to>
      <xdr:col>22</xdr:col>
      <xdr:colOff>133350</xdr:colOff>
      <xdr:row>23</xdr:row>
      <xdr:rowOff>38100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540C0E0F-BE4A-9258-07D3-16547EE53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24900" y="2705100"/>
          <a:ext cx="7715250" cy="1752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D2891-BD16-4E73-8EF4-C0BEF8F0FCD5}">
  <dimension ref="A2:K29"/>
  <sheetViews>
    <sheetView tabSelected="1" workbookViewId="0">
      <selection activeCell="J7" sqref="J7"/>
    </sheetView>
  </sheetViews>
  <sheetFormatPr defaultColWidth="8.85546875" defaultRowHeight="15"/>
  <cols>
    <col min="1" max="3" width="8.85546875" style="1"/>
    <col min="4" max="4" width="15.140625" style="1" customWidth="1"/>
    <col min="5" max="6" width="24.140625" style="1" bestFit="1" customWidth="1"/>
    <col min="7" max="7" width="13.42578125" style="1" customWidth="1"/>
    <col min="8" max="9" width="8.85546875" style="1"/>
    <col min="10" max="10" width="50.140625" style="1" customWidth="1"/>
    <col min="11" max="11" width="37.28515625" style="1" bestFit="1" customWidth="1"/>
    <col min="12" max="16384" width="8.85546875" style="1"/>
  </cols>
  <sheetData>
    <row r="2" spans="1:11">
      <c r="D2" s="1" t="s">
        <v>0</v>
      </c>
      <c r="E2" s="1" t="s">
        <v>1</v>
      </c>
      <c r="F2" s="1" t="s">
        <v>2</v>
      </c>
      <c r="G2" s="1" t="s">
        <v>3</v>
      </c>
      <c r="J2" s="20" t="s">
        <v>4</v>
      </c>
      <c r="K2" s="1" t="s">
        <v>5</v>
      </c>
    </row>
    <row r="3" spans="1:11">
      <c r="B3" s="9"/>
      <c r="D3" s="1" t="s">
        <v>6</v>
      </c>
      <c r="E3" s="3">
        <v>45438</v>
      </c>
      <c r="F3" s="3">
        <v>45074</v>
      </c>
      <c r="G3" s="1">
        <f>E3-F3</f>
        <v>364</v>
      </c>
      <c r="J3" s="12" t="s">
        <v>7</v>
      </c>
    </row>
    <row r="4" spans="1:11">
      <c r="B4" s="9"/>
      <c r="D4" s="1" t="s">
        <v>8</v>
      </c>
      <c r="E4" s="3">
        <v>45319</v>
      </c>
      <c r="F4" s="3">
        <v>44969</v>
      </c>
      <c r="G4" s="1">
        <f>E4-F4</f>
        <v>350</v>
      </c>
      <c r="J4" s="11" t="s">
        <v>9</v>
      </c>
    </row>
    <row r="5" spans="1:11">
      <c r="B5" s="9"/>
      <c r="D5" s="1" t="s">
        <v>10</v>
      </c>
      <c r="E5" s="3">
        <v>45332</v>
      </c>
      <c r="F5" s="3">
        <v>44975</v>
      </c>
      <c r="G5" s="1">
        <f>E5-F5</f>
        <v>357</v>
      </c>
      <c r="J5" s="11" t="s">
        <v>11</v>
      </c>
    </row>
    <row r="6" spans="1:11">
      <c r="B6" s="9"/>
      <c r="D6" s="1" t="s">
        <v>12</v>
      </c>
      <c r="E6" s="3">
        <v>45333</v>
      </c>
      <c r="F6" s="3">
        <v>44968</v>
      </c>
      <c r="G6" s="1">
        <f>E6-F6</f>
        <v>365</v>
      </c>
      <c r="J6" s="11" t="s">
        <v>13</v>
      </c>
    </row>
    <row r="7" spans="1:11">
      <c r="B7" s="9"/>
      <c r="D7" s="1" t="s">
        <v>14</v>
      </c>
      <c r="E7" s="3">
        <v>45332</v>
      </c>
      <c r="F7" s="3">
        <v>44975</v>
      </c>
      <c r="G7" s="1">
        <f>E7-F7</f>
        <v>357</v>
      </c>
      <c r="J7" s="12" t="s">
        <v>15</v>
      </c>
    </row>
    <row r="8" spans="1:11">
      <c r="B8" s="9"/>
      <c r="D8" s="1" t="s">
        <v>16</v>
      </c>
      <c r="E8" s="3">
        <v>45346</v>
      </c>
      <c r="F8" s="3">
        <v>44970</v>
      </c>
      <c r="G8" s="1">
        <f>E8-F8</f>
        <v>376</v>
      </c>
      <c r="J8" s="12" t="s">
        <v>17</v>
      </c>
    </row>
    <row r="9" spans="1:11">
      <c r="B9" s="9"/>
      <c r="D9" s="1" t="s">
        <v>18</v>
      </c>
      <c r="E9" s="3">
        <v>45347</v>
      </c>
      <c r="F9" s="3">
        <v>44975</v>
      </c>
      <c r="G9" s="1">
        <f>E9-F9</f>
        <v>372</v>
      </c>
      <c r="J9" s="11" t="s">
        <v>19</v>
      </c>
    </row>
    <row r="10" spans="1:11">
      <c r="B10" s="9"/>
      <c r="D10" s="1" t="s">
        <v>20</v>
      </c>
      <c r="E10" s="3">
        <v>45346</v>
      </c>
      <c r="F10" s="3">
        <v>44990</v>
      </c>
      <c r="G10" s="1">
        <f>E10-F10</f>
        <v>356</v>
      </c>
      <c r="J10" s="12" t="s">
        <v>21</v>
      </c>
    </row>
    <row r="11" spans="1:11">
      <c r="B11" s="9"/>
      <c r="D11" s="1" t="s">
        <v>22</v>
      </c>
      <c r="E11" s="3">
        <v>45333</v>
      </c>
      <c r="F11" s="7">
        <v>44976</v>
      </c>
      <c r="G11" s="1">
        <f>E11-F11</f>
        <v>357</v>
      </c>
      <c r="J11" s="11" t="s">
        <v>23</v>
      </c>
    </row>
    <row r="12" spans="1:11">
      <c r="D12" s="1" t="s">
        <v>24</v>
      </c>
      <c r="E12" s="3">
        <v>45329</v>
      </c>
      <c r="F12" s="3">
        <v>44982</v>
      </c>
      <c r="G12" s="1">
        <f>E12-F12</f>
        <v>347</v>
      </c>
      <c r="J12" s="12" t="s">
        <v>25</v>
      </c>
    </row>
    <row r="13" spans="1:11">
      <c r="A13" s="44" t="s">
        <v>26</v>
      </c>
      <c r="B13" s="45"/>
      <c r="C13" s="45"/>
      <c r="D13" s="14" t="s">
        <v>27</v>
      </c>
      <c r="E13" s="16">
        <v>45250</v>
      </c>
      <c r="F13" s="16">
        <v>45004</v>
      </c>
      <c r="G13" s="15">
        <f>E13-F13</f>
        <v>246</v>
      </c>
      <c r="J13" s="11" t="s">
        <v>28</v>
      </c>
    </row>
    <row r="14" spans="1:11">
      <c r="D14" s="1" t="s">
        <v>29</v>
      </c>
      <c r="E14" s="3">
        <v>45347</v>
      </c>
      <c r="F14" s="3">
        <v>44989</v>
      </c>
      <c r="G14" s="1">
        <f>E14-F14</f>
        <v>358</v>
      </c>
      <c r="J14" s="12" t="s">
        <v>30</v>
      </c>
    </row>
    <row r="15" spans="1:11">
      <c r="A15" s="44" t="s">
        <v>26</v>
      </c>
      <c r="B15" s="45"/>
      <c r="C15" s="45"/>
      <c r="D15" s="14" t="s">
        <v>31</v>
      </c>
      <c r="E15" s="16">
        <v>45430</v>
      </c>
      <c r="F15" s="16">
        <v>44976</v>
      </c>
      <c r="G15" s="15">
        <f>E15-F15</f>
        <v>454</v>
      </c>
      <c r="J15" s="11" t="s">
        <v>32</v>
      </c>
    </row>
    <row r="16" spans="1:11">
      <c r="D16" s="1" t="s">
        <v>33</v>
      </c>
      <c r="E16" s="3">
        <v>45347</v>
      </c>
      <c r="F16" s="3">
        <v>44982</v>
      </c>
      <c r="G16" s="1">
        <f>E16-F16</f>
        <v>365</v>
      </c>
    </row>
    <row r="17" spans="1:7">
      <c r="D17" s="1" t="s">
        <v>34</v>
      </c>
      <c r="E17" s="3">
        <v>45340</v>
      </c>
      <c r="F17" s="3">
        <v>44944</v>
      </c>
      <c r="G17" s="1">
        <f>E17-F17</f>
        <v>396</v>
      </c>
    </row>
    <row r="18" spans="1:7">
      <c r="D18" s="1" t="s">
        <v>35</v>
      </c>
      <c r="E18" s="3">
        <v>45353</v>
      </c>
      <c r="F18" s="3">
        <v>44996</v>
      </c>
      <c r="G18" s="1">
        <f>E18-F18</f>
        <v>357</v>
      </c>
    </row>
    <row r="19" spans="1:7">
      <c r="D19" s="1" t="s">
        <v>36</v>
      </c>
      <c r="E19" s="3">
        <v>45353</v>
      </c>
      <c r="F19" s="3">
        <v>44996</v>
      </c>
      <c r="G19" s="1">
        <f>E19-F19</f>
        <v>357</v>
      </c>
    </row>
    <row r="20" spans="1:7">
      <c r="D20" s="1" t="s">
        <v>37</v>
      </c>
      <c r="E20" s="3">
        <v>45353</v>
      </c>
      <c r="F20" s="3">
        <v>45011</v>
      </c>
      <c r="G20" s="1">
        <f>E20-F20</f>
        <v>342</v>
      </c>
    </row>
    <row r="21" spans="1:7">
      <c r="A21" s="44" t="s">
        <v>26</v>
      </c>
      <c r="B21" s="45"/>
      <c r="C21" s="45"/>
      <c r="D21" s="14" t="s">
        <v>38</v>
      </c>
      <c r="E21" s="16">
        <v>45430</v>
      </c>
      <c r="F21" s="16">
        <v>44997</v>
      </c>
      <c r="G21" s="15">
        <f>E21-F21</f>
        <v>433</v>
      </c>
    </row>
    <row r="22" spans="1:7">
      <c r="D22" s="1" t="s">
        <v>39</v>
      </c>
      <c r="E22" s="3">
        <v>45368</v>
      </c>
      <c r="F22" s="3">
        <v>45004</v>
      </c>
      <c r="G22" s="1">
        <f>E22-F22</f>
        <v>364</v>
      </c>
    </row>
    <row r="23" spans="1:7">
      <c r="D23" s="1" t="s">
        <v>40</v>
      </c>
      <c r="E23" s="3">
        <v>45367</v>
      </c>
      <c r="F23" s="3">
        <v>45004</v>
      </c>
      <c r="G23" s="1">
        <f>E23-F23</f>
        <v>363</v>
      </c>
    </row>
    <row r="24" spans="1:7">
      <c r="D24" s="1" t="s">
        <v>41</v>
      </c>
      <c r="E24" s="3">
        <v>45354</v>
      </c>
      <c r="F24" s="3">
        <v>44997</v>
      </c>
      <c r="G24" s="1">
        <f>E24-F24</f>
        <v>357</v>
      </c>
    </row>
    <row r="25" spans="1:7">
      <c r="D25" s="1" t="s">
        <v>42</v>
      </c>
      <c r="E25" s="3">
        <v>45360</v>
      </c>
      <c r="F25" s="3">
        <v>45018</v>
      </c>
      <c r="G25" s="1">
        <f>E25-F25</f>
        <v>342</v>
      </c>
    </row>
    <row r="26" spans="1:7">
      <c r="D26" s="1" t="s">
        <v>43</v>
      </c>
      <c r="E26" s="3">
        <v>45360</v>
      </c>
      <c r="F26" s="3">
        <v>45011</v>
      </c>
      <c r="G26" s="1">
        <f>E26-F26</f>
        <v>349</v>
      </c>
    </row>
    <row r="27" spans="1:7">
      <c r="D27" s="1" t="s">
        <v>44</v>
      </c>
      <c r="E27" s="3">
        <v>45367</v>
      </c>
      <c r="F27" s="3">
        <v>45011</v>
      </c>
      <c r="G27" s="1">
        <f>E27-F27</f>
        <v>356</v>
      </c>
    </row>
    <row r="28" spans="1:7">
      <c r="A28" s="44" t="s">
        <v>26</v>
      </c>
      <c r="B28" s="45"/>
      <c r="C28" s="45"/>
      <c r="D28" s="14" t="s">
        <v>45</v>
      </c>
      <c r="E28" s="16">
        <v>45431</v>
      </c>
      <c r="F28" s="16">
        <v>45004</v>
      </c>
      <c r="G28" s="15">
        <f>E28-F28</f>
        <v>427</v>
      </c>
    </row>
    <row r="29" spans="1:7">
      <c r="D29" s="1" t="s">
        <v>46</v>
      </c>
      <c r="E29" s="3">
        <v>45368</v>
      </c>
      <c r="F29" s="3">
        <v>44996</v>
      </c>
      <c r="G29" s="1">
        <f>E29-F29</f>
        <v>372</v>
      </c>
    </row>
  </sheetData>
  <sortState xmlns:xlrd2="http://schemas.microsoft.com/office/spreadsheetml/2017/richdata2" ref="C3:G29">
    <sortCondition ref="D3:D29"/>
  </sortState>
  <mergeCells count="4">
    <mergeCell ref="A28:C28"/>
    <mergeCell ref="A13:C13"/>
    <mergeCell ref="A15:C15"/>
    <mergeCell ref="A21:C2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86D3-A96D-4890-BC60-E22854F55A79}">
  <dimension ref="B1:S33"/>
  <sheetViews>
    <sheetView topLeftCell="A15" zoomScale="40" zoomScaleNormal="40" workbookViewId="0">
      <selection activeCell="C28" sqref="C28:J28"/>
    </sheetView>
  </sheetViews>
  <sheetFormatPr defaultColWidth="8.85546875" defaultRowHeight="15"/>
  <cols>
    <col min="1" max="2" width="8.85546875" style="1"/>
    <col min="3" max="3" width="17.28515625" style="1" bestFit="1" customWidth="1"/>
    <col min="4" max="8" width="12.7109375" style="1" customWidth="1"/>
    <col min="9" max="9" width="15.7109375" style="1" customWidth="1"/>
    <col min="10" max="10" width="17.7109375" style="1" customWidth="1"/>
    <col min="11" max="11" width="10.5703125" style="1" bestFit="1" customWidth="1"/>
    <col min="12" max="12" width="16.7109375" style="1" bestFit="1" customWidth="1"/>
    <col min="13" max="13" width="14.7109375" style="1" bestFit="1" customWidth="1"/>
    <col min="14" max="16384" width="8.85546875" style="1"/>
  </cols>
  <sheetData>
    <row r="1" spans="2:19">
      <c r="E1" s="1" t="s">
        <v>47</v>
      </c>
      <c r="F1" s="47" t="s">
        <v>48</v>
      </c>
      <c r="G1" s="47"/>
    </row>
    <row r="2" spans="2:19">
      <c r="E2" s="1">
        <v>20</v>
      </c>
      <c r="F2" s="8" t="s">
        <v>49</v>
      </c>
      <c r="G2" s="8" t="s">
        <v>50</v>
      </c>
    </row>
    <row r="5" spans="2:19" ht="16.5">
      <c r="C5" s="2" t="s">
        <v>0</v>
      </c>
      <c r="D5" s="2" t="s">
        <v>51</v>
      </c>
      <c r="E5" s="2" t="s">
        <v>52</v>
      </c>
      <c r="F5" s="2" t="s">
        <v>53</v>
      </c>
      <c r="G5" s="2" t="s">
        <v>54</v>
      </c>
      <c r="H5" s="2" t="s">
        <v>55</v>
      </c>
      <c r="I5" s="2" t="s">
        <v>56</v>
      </c>
      <c r="J5" s="2" t="s">
        <v>57</v>
      </c>
      <c r="L5" s="1">
        <v>27</v>
      </c>
      <c r="M5" s="1" t="s">
        <v>58</v>
      </c>
    </row>
    <row r="6" spans="2:19">
      <c r="B6" s="1" t="s">
        <v>37</v>
      </c>
      <c r="C6" s="1" t="s">
        <v>59</v>
      </c>
      <c r="D6" s="4">
        <v>20.12</v>
      </c>
      <c r="E6" s="4">
        <v>20.14</v>
      </c>
      <c r="F6" s="4">
        <v>20.2</v>
      </c>
      <c r="G6" s="4">
        <v>20.25</v>
      </c>
      <c r="H6" s="4">
        <v>20.25</v>
      </c>
      <c r="I6" s="1">
        <f>MAX(D6:H6)</f>
        <v>20.25</v>
      </c>
      <c r="J6" s="1">
        <f>MIN(D6:H6)</f>
        <v>20.12</v>
      </c>
    </row>
    <row r="7" spans="2:19">
      <c r="B7" s="1" t="s">
        <v>42</v>
      </c>
      <c r="C7" s="1" t="s">
        <v>60</v>
      </c>
      <c r="D7" s="5">
        <v>20.010000000000002</v>
      </c>
      <c r="E7" s="5">
        <v>20.02</v>
      </c>
      <c r="F7" s="4">
        <v>20.03</v>
      </c>
      <c r="G7" s="4">
        <v>20.03</v>
      </c>
      <c r="H7" s="4">
        <v>20.03</v>
      </c>
      <c r="I7" s="1">
        <f>MAX(D7:H7)</f>
        <v>20.03</v>
      </c>
      <c r="J7" s="1">
        <f>MIN(D7:H7)</f>
        <v>20.010000000000002</v>
      </c>
    </row>
    <row r="8" spans="2:19">
      <c r="B8" s="1" t="s">
        <v>43</v>
      </c>
      <c r="C8" s="1" t="s">
        <v>61</v>
      </c>
      <c r="D8" s="5">
        <v>20.010000000000002</v>
      </c>
      <c r="E8" s="4">
        <v>20.03</v>
      </c>
      <c r="F8" s="4">
        <v>20.03</v>
      </c>
      <c r="G8" s="4">
        <v>20.04</v>
      </c>
      <c r="H8" s="4">
        <v>20.05</v>
      </c>
      <c r="I8" s="1">
        <f>MAX(D8:H8)</f>
        <v>20.05</v>
      </c>
      <c r="J8" s="1">
        <f>MIN(D8:H8)</f>
        <v>20.010000000000002</v>
      </c>
      <c r="L8" s="1" t="s">
        <v>62</v>
      </c>
      <c r="M8" s="1">
        <v>140</v>
      </c>
    </row>
    <row r="9" spans="2:19">
      <c r="C9" s="1" t="s">
        <v>6</v>
      </c>
      <c r="D9" s="4">
        <v>20.05</v>
      </c>
      <c r="E9" s="4">
        <v>20.05</v>
      </c>
      <c r="F9" s="4">
        <v>20.05</v>
      </c>
      <c r="G9" s="4">
        <v>20.05</v>
      </c>
      <c r="H9" s="4">
        <v>20.05</v>
      </c>
      <c r="I9" s="1">
        <f>MAX(D9:H9)</f>
        <v>20.05</v>
      </c>
      <c r="J9" s="1">
        <f>MIN(D9:H9)</f>
        <v>20.05</v>
      </c>
      <c r="L9" s="1" t="s">
        <v>63</v>
      </c>
      <c r="M9" s="1">
        <v>36</v>
      </c>
      <c r="O9" s="44" t="s">
        <v>64</v>
      </c>
      <c r="P9" s="45"/>
      <c r="Q9" s="45"/>
      <c r="R9" s="45"/>
      <c r="S9" s="46"/>
    </row>
    <row r="10" spans="2:19">
      <c r="C10" s="1" t="s">
        <v>8</v>
      </c>
      <c r="D10" s="4">
        <v>20.059999999999999</v>
      </c>
      <c r="E10" s="4">
        <v>20.07</v>
      </c>
      <c r="F10" s="4">
        <v>20.100000000000001</v>
      </c>
      <c r="G10" s="4">
        <v>20.11</v>
      </c>
      <c r="H10" s="4">
        <v>20.149999999999999</v>
      </c>
      <c r="I10" s="1">
        <f>MAX(D10:H10)</f>
        <v>20.149999999999999</v>
      </c>
      <c r="J10" s="1">
        <f>MIN(D10:H10)</f>
        <v>20.059999999999999</v>
      </c>
      <c r="L10" s="1" t="s">
        <v>65</v>
      </c>
      <c r="M10" s="1">
        <f>M8-M9</f>
        <v>104</v>
      </c>
    </row>
    <row r="11" spans="2:19">
      <c r="C11" s="1" t="s">
        <v>10</v>
      </c>
      <c r="D11" s="4">
        <v>20.05</v>
      </c>
      <c r="E11" s="4">
        <v>20.03</v>
      </c>
      <c r="F11" s="4">
        <v>20.03</v>
      </c>
      <c r="G11" s="4">
        <v>20.03</v>
      </c>
      <c r="H11" s="4">
        <v>20.03</v>
      </c>
      <c r="I11" s="1">
        <f>MAX(D11:H11)</f>
        <v>20.05</v>
      </c>
      <c r="J11" s="1">
        <f>MIN(D11:H11)</f>
        <v>20.03</v>
      </c>
    </row>
    <row r="12" spans="2:19">
      <c r="C12" s="1" t="s">
        <v>12</v>
      </c>
      <c r="D12" s="5">
        <v>20.02</v>
      </c>
      <c r="E12" s="4">
        <v>20.059999999999999</v>
      </c>
      <c r="F12" s="4">
        <v>20.07</v>
      </c>
      <c r="G12" s="4">
        <v>20.12</v>
      </c>
      <c r="H12" s="4">
        <v>20.170000000000002</v>
      </c>
      <c r="I12" s="1">
        <f>MAX(D12:H12)</f>
        <v>20.170000000000002</v>
      </c>
      <c r="J12" s="1">
        <f>MIN(D12:H12)</f>
        <v>20.02</v>
      </c>
    </row>
    <row r="13" spans="2:19">
      <c r="C13" s="1" t="s">
        <v>14</v>
      </c>
      <c r="D13" s="4">
        <v>20.04</v>
      </c>
      <c r="E13" s="4">
        <v>20.07</v>
      </c>
      <c r="F13" s="4">
        <v>20.13</v>
      </c>
      <c r="G13" s="4">
        <v>20.16</v>
      </c>
      <c r="H13" s="4">
        <v>20.25</v>
      </c>
      <c r="I13" s="1">
        <f>MAX(D13:H13)</f>
        <v>20.25</v>
      </c>
      <c r="J13" s="1">
        <f>MIN(D13:H13)</f>
        <v>20.04</v>
      </c>
    </row>
    <row r="14" spans="2:19">
      <c r="C14" s="1" t="s">
        <v>16</v>
      </c>
      <c r="D14" s="4">
        <v>20.04</v>
      </c>
      <c r="E14" s="4">
        <v>20.04</v>
      </c>
      <c r="F14" s="4">
        <v>20.05</v>
      </c>
      <c r="G14" s="4">
        <v>20.059999999999999</v>
      </c>
      <c r="H14" s="4">
        <v>20.07</v>
      </c>
      <c r="I14" s="1">
        <f>MAX(D14:H14)</f>
        <v>20.07</v>
      </c>
      <c r="J14" s="1">
        <f>MIN(D14:H14)</f>
        <v>20.04</v>
      </c>
    </row>
    <row r="15" spans="2:19">
      <c r="C15" s="1" t="s">
        <v>18</v>
      </c>
      <c r="D15" s="4">
        <v>20.04</v>
      </c>
      <c r="E15" s="5">
        <v>20</v>
      </c>
      <c r="F15" s="5">
        <v>20.010000000000002</v>
      </c>
      <c r="G15" s="5">
        <v>20.010000000000002</v>
      </c>
      <c r="H15" s="5">
        <v>20.010000000000002</v>
      </c>
      <c r="I15" s="1">
        <f>MAX(D15:H15)</f>
        <v>20.04</v>
      </c>
      <c r="J15" s="1">
        <f>MIN(D15:H15)</f>
        <v>20</v>
      </c>
    </row>
    <row r="16" spans="2:19">
      <c r="C16" s="1" t="s">
        <v>20</v>
      </c>
      <c r="D16" s="5">
        <v>20.02</v>
      </c>
      <c r="E16" s="4">
        <v>20.12</v>
      </c>
      <c r="F16" s="4">
        <v>20.14</v>
      </c>
      <c r="G16" s="4">
        <v>20.14</v>
      </c>
      <c r="H16" s="4">
        <v>20.149999999999999</v>
      </c>
      <c r="I16" s="1">
        <f>MAX(D16:H16)</f>
        <v>20.149999999999999</v>
      </c>
      <c r="J16" s="1">
        <f>MIN(D16:H16)</f>
        <v>20.02</v>
      </c>
    </row>
    <row r="17" spans="3:10">
      <c r="C17" s="1" t="s">
        <v>22</v>
      </c>
      <c r="D17" s="5">
        <v>20.02</v>
      </c>
      <c r="E17" s="4">
        <v>20.03</v>
      </c>
      <c r="F17" s="5">
        <v>20.02</v>
      </c>
      <c r="G17" s="4">
        <v>20.04</v>
      </c>
      <c r="H17" s="4">
        <v>20.05</v>
      </c>
      <c r="I17" s="1">
        <f>MAX(D17:H17)</f>
        <v>20.05</v>
      </c>
      <c r="J17" s="1">
        <f>MIN(D17:H17)</f>
        <v>20.02</v>
      </c>
    </row>
    <row r="18" spans="3:10">
      <c r="C18" s="1" t="s">
        <v>24</v>
      </c>
      <c r="D18" s="4">
        <v>20.04</v>
      </c>
      <c r="E18" s="4">
        <v>20.04</v>
      </c>
      <c r="F18" s="4">
        <v>20.04</v>
      </c>
      <c r="G18" s="4">
        <v>20.04</v>
      </c>
      <c r="H18" s="4">
        <v>20.05</v>
      </c>
      <c r="I18" s="1">
        <f>MAX(D18:H18)</f>
        <v>20.05</v>
      </c>
      <c r="J18" s="1">
        <f>MIN(D18:H18)</f>
        <v>20.04</v>
      </c>
    </row>
    <row r="19" spans="3:10">
      <c r="C19" s="1" t="s">
        <v>27</v>
      </c>
      <c r="D19" s="1" t="s">
        <v>66</v>
      </c>
      <c r="E19" s="1" t="s">
        <v>66</v>
      </c>
      <c r="F19" s="1" t="s">
        <v>66</v>
      </c>
      <c r="G19" s="1" t="s">
        <v>66</v>
      </c>
      <c r="H19" s="1" t="s">
        <v>66</v>
      </c>
      <c r="I19" s="1" t="s">
        <v>66</v>
      </c>
      <c r="J19" s="1" t="s">
        <v>66</v>
      </c>
    </row>
    <row r="20" spans="3:10">
      <c r="C20" s="1" t="s">
        <v>29</v>
      </c>
      <c r="D20" s="4">
        <v>20.04</v>
      </c>
      <c r="E20" s="4">
        <v>20.05</v>
      </c>
      <c r="F20" s="4">
        <v>20.05</v>
      </c>
      <c r="G20" s="4">
        <v>20.05</v>
      </c>
      <c r="H20" s="4">
        <v>20.059999999999999</v>
      </c>
      <c r="I20" s="1">
        <f>MAX(D20:H20)</f>
        <v>20.059999999999999</v>
      </c>
      <c r="J20" s="1">
        <f>MIN(D20:H20)</f>
        <v>20.04</v>
      </c>
    </row>
    <row r="21" spans="3:10">
      <c r="C21" s="1" t="s">
        <v>31</v>
      </c>
      <c r="D21" s="4">
        <v>20.04</v>
      </c>
      <c r="E21" s="4">
        <v>20.05</v>
      </c>
      <c r="F21" s="4">
        <v>20.059999999999999</v>
      </c>
      <c r="G21" s="4">
        <v>20.059999999999999</v>
      </c>
      <c r="H21" s="4">
        <v>20.079999999999998</v>
      </c>
      <c r="I21" s="1">
        <f>MAX(D21:H21)</f>
        <v>20.079999999999998</v>
      </c>
      <c r="J21" s="1">
        <f>MIN(D21:H21)</f>
        <v>20.04</v>
      </c>
    </row>
    <row r="22" spans="3:10">
      <c r="C22" s="1" t="s">
        <v>33</v>
      </c>
      <c r="D22" s="4">
        <v>20.04</v>
      </c>
      <c r="E22" s="5">
        <v>20.010000000000002</v>
      </c>
      <c r="F22" s="5">
        <v>20.02</v>
      </c>
      <c r="G22" s="4">
        <v>20.03</v>
      </c>
      <c r="H22" s="4">
        <v>20.04</v>
      </c>
      <c r="I22" s="1">
        <f>MAX(D22:H22)</f>
        <v>20.04</v>
      </c>
      <c r="J22" s="1">
        <f>MIN(D22:H22)</f>
        <v>20.010000000000002</v>
      </c>
    </row>
    <row r="23" spans="3:10">
      <c r="C23" s="1" t="s">
        <v>34</v>
      </c>
      <c r="D23" s="4">
        <v>20.05</v>
      </c>
      <c r="E23" s="4">
        <v>20.03</v>
      </c>
      <c r="F23" s="5">
        <v>20.02</v>
      </c>
      <c r="G23" s="5">
        <v>20.02</v>
      </c>
      <c r="H23" s="5">
        <v>20.02</v>
      </c>
      <c r="I23" s="1">
        <f>MAX(D23:H23)</f>
        <v>20.05</v>
      </c>
      <c r="J23" s="1">
        <f>MIN(D23:H23)</f>
        <v>20.02</v>
      </c>
    </row>
    <row r="24" spans="3:10">
      <c r="C24" s="1" t="s">
        <v>35</v>
      </c>
      <c r="D24" s="4">
        <v>20.03</v>
      </c>
      <c r="E24" s="5">
        <v>20.010000000000002</v>
      </c>
      <c r="F24" s="5">
        <v>20</v>
      </c>
      <c r="G24" s="5">
        <v>20</v>
      </c>
      <c r="H24" s="5">
        <v>20.010000000000002</v>
      </c>
      <c r="I24" s="1">
        <f>MAX(D24:H24)</f>
        <v>20.03</v>
      </c>
      <c r="J24" s="1">
        <f>MIN(D24:H24)</f>
        <v>20</v>
      </c>
    </row>
    <row r="25" spans="3:10">
      <c r="C25" s="1" t="s">
        <v>36</v>
      </c>
      <c r="D25" s="4">
        <v>20.05</v>
      </c>
      <c r="E25" s="4">
        <v>20.059999999999999</v>
      </c>
      <c r="F25" s="4">
        <v>20.12</v>
      </c>
      <c r="G25" s="4">
        <v>20.14</v>
      </c>
      <c r="H25" s="4">
        <v>20.149999999999999</v>
      </c>
      <c r="I25" s="1">
        <f>MAX(D25:H25)</f>
        <v>20.149999999999999</v>
      </c>
      <c r="J25" s="1">
        <f>MIN(D25:H25)</f>
        <v>20.05</v>
      </c>
    </row>
    <row r="26" spans="3:10">
      <c r="C26" s="1" t="s">
        <v>38</v>
      </c>
      <c r="D26" s="5">
        <v>20.02</v>
      </c>
      <c r="E26" s="4">
        <v>20.03</v>
      </c>
      <c r="F26" s="4">
        <v>20.04</v>
      </c>
      <c r="G26" s="4">
        <v>20.04</v>
      </c>
      <c r="H26" s="4">
        <v>20.05</v>
      </c>
      <c r="I26" s="1">
        <f>MAX(D26:H26)</f>
        <v>20.05</v>
      </c>
      <c r="J26" s="1">
        <f>MIN(D26:H26)</f>
        <v>20.02</v>
      </c>
    </row>
    <row r="27" spans="3:10">
      <c r="C27" s="1" t="s">
        <v>39</v>
      </c>
      <c r="D27" s="4">
        <v>20.04</v>
      </c>
      <c r="E27" s="4">
        <v>20.22</v>
      </c>
      <c r="F27" s="4">
        <v>20.3</v>
      </c>
      <c r="G27" s="4">
        <v>20.350000000000001</v>
      </c>
      <c r="H27" s="4">
        <v>20.39</v>
      </c>
      <c r="I27" s="1">
        <f>MAX(D27:H27)</f>
        <v>20.39</v>
      </c>
      <c r="J27" s="1">
        <f>MIN(D27:H27)</f>
        <v>20.04</v>
      </c>
    </row>
    <row r="28" spans="3:10">
      <c r="C28" s="1" t="s">
        <v>40</v>
      </c>
      <c r="D28" s="4">
        <v>20.04</v>
      </c>
      <c r="E28" s="5">
        <v>20.010000000000002</v>
      </c>
      <c r="F28" s="5">
        <v>20.010000000000002</v>
      </c>
      <c r="G28" s="5">
        <v>20.010000000000002</v>
      </c>
      <c r="H28" s="5">
        <v>20.02</v>
      </c>
      <c r="I28" s="1">
        <f>MAX(D28:H28)</f>
        <v>20.04</v>
      </c>
      <c r="J28" s="1">
        <f>MIN(D28:H28)</f>
        <v>20.010000000000002</v>
      </c>
    </row>
    <row r="29" spans="3:10">
      <c r="C29" s="1" t="s">
        <v>41</v>
      </c>
      <c r="D29" s="5">
        <v>20.02</v>
      </c>
      <c r="E29" s="4">
        <v>20.05</v>
      </c>
      <c r="F29" s="4">
        <v>20.05</v>
      </c>
      <c r="G29" s="4">
        <v>20.05</v>
      </c>
      <c r="H29" s="4">
        <v>20.07</v>
      </c>
      <c r="I29" s="1">
        <f>MAX(D29:H29)</f>
        <v>20.07</v>
      </c>
      <c r="J29" s="1">
        <f>MIN(D29:H29)</f>
        <v>20.02</v>
      </c>
    </row>
    <row r="30" spans="3:10">
      <c r="C30" s="1" t="s">
        <v>67</v>
      </c>
      <c r="D30" s="4">
        <v>20.04</v>
      </c>
      <c r="E30" s="5">
        <v>20</v>
      </c>
      <c r="F30" s="4">
        <v>20.03</v>
      </c>
      <c r="G30" s="4">
        <v>20.32</v>
      </c>
      <c r="H30" s="4">
        <v>20.440000000000001</v>
      </c>
      <c r="I30" s="1">
        <f>MAX(D30:H30)</f>
        <v>20.440000000000001</v>
      </c>
      <c r="J30" s="1">
        <f>MIN(D30:H30)</f>
        <v>20</v>
      </c>
    </row>
    <row r="31" spans="3:10">
      <c r="C31" s="1" t="s">
        <v>68</v>
      </c>
      <c r="D31" s="4">
        <v>20.239999999999998</v>
      </c>
      <c r="E31" s="4">
        <v>20.239999999999998</v>
      </c>
      <c r="F31" s="4">
        <v>20.34</v>
      </c>
      <c r="G31" s="4">
        <v>20.399999999999999</v>
      </c>
      <c r="H31" s="4">
        <v>20.47</v>
      </c>
      <c r="I31" s="1">
        <f>MAX(D31:H31)</f>
        <v>20.47</v>
      </c>
      <c r="J31" s="1">
        <f>MIN(D31:H31)</f>
        <v>20.239999999999998</v>
      </c>
    </row>
    <row r="32" spans="3:10">
      <c r="C32" s="1" t="s">
        <v>45</v>
      </c>
      <c r="D32" s="5">
        <v>20.02</v>
      </c>
      <c r="E32" s="4">
        <v>20.03</v>
      </c>
      <c r="F32" s="4">
        <v>20.03</v>
      </c>
      <c r="G32" s="4">
        <v>20.03</v>
      </c>
      <c r="H32" s="4">
        <v>20.03</v>
      </c>
      <c r="I32" s="1">
        <f>MAX(D32:H32)</f>
        <v>20.03</v>
      </c>
      <c r="J32" s="1">
        <f>MIN(D32:H32)</f>
        <v>20.02</v>
      </c>
    </row>
    <row r="33" spans="3:10">
      <c r="C33" s="1" t="s">
        <v>46</v>
      </c>
      <c r="D33" s="4">
        <v>20.03</v>
      </c>
      <c r="E33" s="5">
        <v>20.010000000000002</v>
      </c>
      <c r="F33" s="5">
        <v>20.02</v>
      </c>
      <c r="G33" s="5">
        <v>20.02</v>
      </c>
      <c r="H33" s="5">
        <v>20.02</v>
      </c>
      <c r="I33" s="1">
        <f>MAX(D33:H33)</f>
        <v>20.03</v>
      </c>
      <c r="J33" s="1">
        <f>MIN(D33:H33)</f>
        <v>20.010000000000002</v>
      </c>
    </row>
  </sheetData>
  <sortState xmlns:xlrd2="http://schemas.microsoft.com/office/spreadsheetml/2017/richdata2" ref="C6:J33">
    <sortCondition ref="C6:C33"/>
  </sortState>
  <mergeCells count="2">
    <mergeCell ref="O9:S9"/>
    <mergeCell ref="F1:G1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4642A-70D6-4B28-BE7C-44ED8C7411A5}">
  <dimension ref="B1:S33"/>
  <sheetViews>
    <sheetView topLeftCell="A5" workbookViewId="0">
      <selection activeCell="C27" sqref="C27:G27"/>
    </sheetView>
  </sheetViews>
  <sheetFormatPr defaultColWidth="8.85546875" defaultRowHeight="15.75" customHeight="1"/>
  <cols>
    <col min="1" max="2" width="8.85546875" style="1"/>
    <col min="3" max="3" width="17.28515625" style="1" bestFit="1" customWidth="1"/>
    <col min="4" max="7" width="12.7109375" style="1" customWidth="1"/>
    <col min="8" max="8" width="16.7109375" style="1" customWidth="1"/>
    <col min="9" max="9" width="19" style="1" customWidth="1"/>
    <col min="10" max="11" width="8.85546875" style="1"/>
    <col min="12" max="12" width="16.7109375" style="1" bestFit="1" customWidth="1"/>
    <col min="13" max="16384" width="8.85546875" style="1"/>
  </cols>
  <sheetData>
    <row r="1" spans="2:19" ht="15">
      <c r="E1" s="1" t="s">
        <v>47</v>
      </c>
      <c r="F1" s="47" t="s">
        <v>48</v>
      </c>
      <c r="G1" s="47"/>
    </row>
    <row r="2" spans="2:19" ht="15">
      <c r="E2" s="1">
        <v>19.920000000000002</v>
      </c>
      <c r="F2" s="8" t="s">
        <v>69</v>
      </c>
      <c r="G2" s="8" t="s">
        <v>70</v>
      </c>
      <c r="H2" s="8"/>
    </row>
    <row r="5" spans="2:19" ht="16.5">
      <c r="C5" s="2" t="s">
        <v>0</v>
      </c>
      <c r="D5" s="2" t="s">
        <v>51</v>
      </c>
      <c r="E5" s="2" t="s">
        <v>52</v>
      </c>
      <c r="F5" s="2" t="s">
        <v>53</v>
      </c>
      <c r="G5" s="2" t="s">
        <v>54</v>
      </c>
      <c r="H5" s="2" t="s">
        <v>56</v>
      </c>
      <c r="I5" s="2" t="s">
        <v>57</v>
      </c>
    </row>
    <row r="6" spans="2:19" ht="15">
      <c r="B6" s="1" t="s">
        <v>37</v>
      </c>
      <c r="C6" s="1" t="s">
        <v>59</v>
      </c>
      <c r="D6" s="4">
        <v>19.5</v>
      </c>
      <c r="E6" s="4">
        <v>19.43</v>
      </c>
      <c r="F6" s="4">
        <v>19.329999999999998</v>
      </c>
      <c r="G6" s="4">
        <v>18.02</v>
      </c>
      <c r="H6" s="1">
        <f>MAX(D6:G6)</f>
        <v>19.5</v>
      </c>
      <c r="I6" s="1">
        <f>MIN(D6:G6)</f>
        <v>18.02</v>
      </c>
    </row>
    <row r="7" spans="2:19" ht="15">
      <c r="B7" s="1" t="s">
        <v>42</v>
      </c>
      <c r="C7" s="1" t="s">
        <v>60</v>
      </c>
      <c r="D7" s="4">
        <v>19.89</v>
      </c>
      <c r="E7" s="4">
        <v>19.82</v>
      </c>
      <c r="F7" s="4">
        <v>19.8</v>
      </c>
      <c r="G7" s="4">
        <v>19.73</v>
      </c>
      <c r="H7" s="1">
        <f>MAX(D7:G7)</f>
        <v>19.89</v>
      </c>
      <c r="I7" s="1">
        <f>MIN(D7:G7)</f>
        <v>19.73</v>
      </c>
    </row>
    <row r="8" spans="2:19" ht="15">
      <c r="B8" s="1" t="s">
        <v>43</v>
      </c>
      <c r="C8" s="1" t="s">
        <v>61</v>
      </c>
      <c r="D8" s="4">
        <v>19.829999999999998</v>
      </c>
      <c r="E8" s="4">
        <v>19.87</v>
      </c>
      <c r="F8" s="5">
        <v>19.899999999999999</v>
      </c>
      <c r="G8" s="4">
        <v>19.760000000000002</v>
      </c>
      <c r="H8" s="1">
        <f>MAX(D8:G8)</f>
        <v>19.899999999999999</v>
      </c>
      <c r="I8" s="1">
        <f>MIN(D8:G8)</f>
        <v>19.760000000000002</v>
      </c>
      <c r="L8" s="1" t="s">
        <v>62</v>
      </c>
      <c r="M8" s="1">
        <v>112</v>
      </c>
    </row>
    <row r="9" spans="2:19" ht="15">
      <c r="C9" s="1" t="s">
        <v>6</v>
      </c>
      <c r="D9" s="4">
        <v>19.649999999999999</v>
      </c>
      <c r="E9" s="4">
        <v>19.600000000000001</v>
      </c>
      <c r="F9" s="4">
        <v>19.649999999999999</v>
      </c>
      <c r="G9" s="4">
        <v>19.46</v>
      </c>
      <c r="H9" s="1">
        <f>MAX(D9:G9)</f>
        <v>19.649999999999999</v>
      </c>
      <c r="I9" s="1">
        <f>MIN(D9:G9)</f>
        <v>19.46</v>
      </c>
      <c r="L9" s="1" t="s">
        <v>63</v>
      </c>
      <c r="M9" s="1">
        <v>6</v>
      </c>
    </row>
    <row r="10" spans="2:19" ht="15">
      <c r="C10" s="1" t="s">
        <v>8</v>
      </c>
      <c r="D10" s="4">
        <v>19.48</v>
      </c>
      <c r="E10" s="4">
        <v>19.3</v>
      </c>
      <c r="F10" s="4">
        <v>19.3</v>
      </c>
      <c r="G10" s="4">
        <v>19</v>
      </c>
      <c r="H10" s="1">
        <f>MAX(D10:G10)</f>
        <v>19.48</v>
      </c>
      <c r="I10" s="1">
        <f>MIN(D10:G10)</f>
        <v>19</v>
      </c>
      <c r="L10" s="1" t="s">
        <v>71</v>
      </c>
      <c r="M10" s="1">
        <v>7</v>
      </c>
    </row>
    <row r="11" spans="2:19" ht="15">
      <c r="B11" s="1" t="s">
        <v>72</v>
      </c>
      <c r="C11" s="1" t="s">
        <v>10</v>
      </c>
      <c r="D11" s="5">
        <v>19.920000000000002</v>
      </c>
      <c r="E11" s="4">
        <v>19.75</v>
      </c>
      <c r="F11" s="4">
        <v>19.850000000000001</v>
      </c>
      <c r="G11" s="4">
        <v>19.82</v>
      </c>
      <c r="H11" s="1">
        <f>MAX(D11:G11)</f>
        <v>19.920000000000002</v>
      </c>
      <c r="I11" s="1">
        <f>MIN(D11:G11)</f>
        <v>19.75</v>
      </c>
      <c r="L11" s="1" t="s">
        <v>65</v>
      </c>
      <c r="M11" s="1">
        <v>99</v>
      </c>
      <c r="O11" s="44" t="s">
        <v>73</v>
      </c>
      <c r="P11" s="45"/>
      <c r="Q11" s="45"/>
      <c r="R11" s="45"/>
      <c r="S11" s="46"/>
    </row>
    <row r="12" spans="2:19" ht="15">
      <c r="C12" s="1" t="s">
        <v>12</v>
      </c>
      <c r="D12" s="4">
        <v>19.79</v>
      </c>
      <c r="E12" s="4">
        <v>19.57</v>
      </c>
      <c r="F12" s="4">
        <v>19.54</v>
      </c>
      <c r="G12" s="4">
        <v>19.38</v>
      </c>
      <c r="H12" s="1">
        <f>MAX(D12:G12)</f>
        <v>19.79</v>
      </c>
      <c r="I12" s="1">
        <f>MIN(D12:G12)</f>
        <v>19.38</v>
      </c>
    </row>
    <row r="13" spans="2:19" ht="15">
      <c r="C13" s="1" t="s">
        <v>14</v>
      </c>
      <c r="D13" s="4">
        <v>19.940000000000001</v>
      </c>
      <c r="E13" s="4">
        <v>19.77</v>
      </c>
      <c r="F13" s="4">
        <v>19.489999999999998</v>
      </c>
      <c r="G13" s="4">
        <v>18.73</v>
      </c>
      <c r="H13" s="1">
        <f>MAX(D13:G13)</f>
        <v>19.940000000000001</v>
      </c>
      <c r="I13" s="1">
        <f>MIN(D13:G13)</f>
        <v>18.73</v>
      </c>
    </row>
    <row r="14" spans="2:19" ht="15">
      <c r="C14" s="1" t="s">
        <v>16</v>
      </c>
      <c r="D14" s="4">
        <v>19.57</v>
      </c>
      <c r="E14" s="4">
        <v>19.5</v>
      </c>
      <c r="F14" s="4">
        <v>19.57</v>
      </c>
      <c r="G14" s="4">
        <v>19.5</v>
      </c>
      <c r="H14" s="1">
        <f>MAX(D14:G14)</f>
        <v>19.57</v>
      </c>
      <c r="I14" s="1">
        <f>MIN(D14:G14)</f>
        <v>19.5</v>
      </c>
    </row>
    <row r="15" spans="2:19" ht="15">
      <c r="C15" s="1" t="s">
        <v>18</v>
      </c>
      <c r="D15" s="4">
        <v>19.760000000000002</v>
      </c>
      <c r="E15" s="4">
        <v>19.760000000000002</v>
      </c>
      <c r="F15" s="4">
        <v>19.72</v>
      </c>
      <c r="G15" s="4">
        <v>19.54</v>
      </c>
      <c r="H15" s="1">
        <f>MAX(D15:G15)</f>
        <v>19.760000000000002</v>
      </c>
      <c r="I15" s="1">
        <f>MIN(D15:G15)</f>
        <v>19.54</v>
      </c>
    </row>
    <row r="16" spans="2:19" ht="15">
      <c r="C16" s="1" t="s">
        <v>20</v>
      </c>
      <c r="D16" s="4">
        <v>19.760000000000002</v>
      </c>
      <c r="E16" s="4">
        <v>19.57</v>
      </c>
      <c r="F16" s="4">
        <v>19.440000000000001</v>
      </c>
      <c r="G16" s="4">
        <v>18.64</v>
      </c>
      <c r="H16" s="1">
        <f>MAX(D16:G16)</f>
        <v>19.760000000000002</v>
      </c>
      <c r="I16" s="1">
        <f>MIN(D16:G16)</f>
        <v>18.64</v>
      </c>
    </row>
    <row r="17" spans="2:9" ht="15">
      <c r="C17" s="1" t="s">
        <v>22</v>
      </c>
      <c r="D17" s="5">
        <v>19.91</v>
      </c>
      <c r="E17" s="5">
        <v>19.899999999999999</v>
      </c>
      <c r="F17" s="4">
        <v>19.87</v>
      </c>
      <c r="G17" s="4">
        <v>19.739999999999998</v>
      </c>
      <c r="H17" s="1">
        <f>MAX(D17:G17)</f>
        <v>19.91</v>
      </c>
      <c r="I17" s="1">
        <f>MIN(D17:G17)</f>
        <v>19.739999999999998</v>
      </c>
    </row>
    <row r="18" spans="2:9" ht="15">
      <c r="C18" s="1" t="s">
        <v>24</v>
      </c>
      <c r="D18" s="4">
        <v>19.399999999999999</v>
      </c>
      <c r="E18" s="4">
        <v>19.350000000000001</v>
      </c>
      <c r="F18" s="4">
        <v>19.399999999999999</v>
      </c>
      <c r="G18" s="4">
        <v>19.32</v>
      </c>
      <c r="H18" s="1">
        <f>MAX(D18:G18)</f>
        <v>19.399999999999999</v>
      </c>
      <c r="I18" s="1">
        <f>MIN(D18:G18)</f>
        <v>19.32</v>
      </c>
    </row>
    <row r="19" spans="2:9" ht="15">
      <c r="C19" s="1" t="s">
        <v>27</v>
      </c>
      <c r="D19" s="1" t="s">
        <v>66</v>
      </c>
      <c r="E19" s="1" t="s">
        <v>66</v>
      </c>
      <c r="F19" s="1" t="s">
        <v>66</v>
      </c>
      <c r="G19" s="1" t="s">
        <v>66</v>
      </c>
      <c r="H19" s="1" t="s">
        <v>66</v>
      </c>
      <c r="I19" s="1" t="s">
        <v>66</v>
      </c>
    </row>
    <row r="20" spans="2:9" ht="15">
      <c r="C20" s="1" t="s">
        <v>29</v>
      </c>
      <c r="D20" s="5">
        <v>19.899999999999999</v>
      </c>
      <c r="E20" s="4">
        <v>19.82</v>
      </c>
      <c r="F20" s="4">
        <v>19.829999999999998</v>
      </c>
      <c r="G20" s="4">
        <v>19.82</v>
      </c>
      <c r="H20" s="1">
        <f>MAX(D20:G20)</f>
        <v>19.899999999999999</v>
      </c>
      <c r="I20" s="1">
        <f>MIN(D20:G20)</f>
        <v>19.82</v>
      </c>
    </row>
    <row r="21" spans="2:9" ht="15">
      <c r="C21" s="1" t="s">
        <v>31</v>
      </c>
      <c r="D21" s="4">
        <v>19.68</v>
      </c>
      <c r="E21" s="4">
        <v>19.87</v>
      </c>
      <c r="F21" s="4">
        <v>19.87</v>
      </c>
      <c r="G21" s="4">
        <v>19.73</v>
      </c>
      <c r="H21" s="1">
        <f>MAX(D21:G21)</f>
        <v>19.87</v>
      </c>
      <c r="I21" s="1">
        <f>MIN(D21:G21)</f>
        <v>19.68</v>
      </c>
    </row>
    <row r="22" spans="2:9" ht="15">
      <c r="C22" s="1" t="s">
        <v>33</v>
      </c>
      <c r="D22" s="6">
        <v>20.03</v>
      </c>
      <c r="E22" s="6">
        <v>20.04</v>
      </c>
      <c r="F22" s="6">
        <v>20.05</v>
      </c>
      <c r="G22" s="6">
        <v>20.010000000000002</v>
      </c>
      <c r="H22" s="1">
        <f>MAX(D22:G22)</f>
        <v>20.05</v>
      </c>
      <c r="I22" s="1">
        <f>MIN(D22:G22)</f>
        <v>20.010000000000002</v>
      </c>
    </row>
    <row r="23" spans="2:9" ht="15">
      <c r="C23" s="1" t="s">
        <v>34</v>
      </c>
      <c r="D23" s="4">
        <v>19.66</v>
      </c>
      <c r="E23" s="4">
        <v>19.7</v>
      </c>
      <c r="F23" s="4">
        <v>19.739999999999998</v>
      </c>
      <c r="G23" s="4">
        <v>19.68</v>
      </c>
      <c r="H23" s="1">
        <f>MAX(D23:G23)</f>
        <v>19.739999999999998</v>
      </c>
      <c r="I23" s="1">
        <f>MIN(D23:G23)</f>
        <v>19.66</v>
      </c>
    </row>
    <row r="24" spans="2:9" ht="15">
      <c r="C24" s="1" t="s">
        <v>35</v>
      </c>
      <c r="D24" s="4">
        <v>19.32</v>
      </c>
      <c r="E24" s="4">
        <v>19.28</v>
      </c>
      <c r="F24" s="4">
        <v>19.38</v>
      </c>
      <c r="G24" s="4">
        <v>19.32</v>
      </c>
      <c r="H24" s="1">
        <f>MAX(D24:G24)</f>
        <v>19.38</v>
      </c>
      <c r="I24" s="1">
        <f>MIN(D24:G24)</f>
        <v>19.28</v>
      </c>
    </row>
    <row r="25" spans="2:9" ht="15">
      <c r="C25" s="1" t="s">
        <v>36</v>
      </c>
      <c r="D25" s="4">
        <v>19.66</v>
      </c>
      <c r="E25" s="4">
        <v>19.41</v>
      </c>
      <c r="F25" s="4">
        <v>19.23</v>
      </c>
      <c r="G25" s="4">
        <v>18.8</v>
      </c>
      <c r="H25" s="1">
        <f>MAX(D25:G25)</f>
        <v>19.66</v>
      </c>
      <c r="I25" s="1">
        <f>MIN(D25:G25)</f>
        <v>18.8</v>
      </c>
    </row>
    <row r="26" spans="2:9" ht="15.75" customHeight="1">
      <c r="B26" s="1" t="s">
        <v>72</v>
      </c>
      <c r="C26" s="1" t="s">
        <v>38</v>
      </c>
      <c r="D26" s="4">
        <v>19.88</v>
      </c>
      <c r="E26" s="5">
        <v>19.899999999999999</v>
      </c>
      <c r="F26" s="4">
        <v>19.88</v>
      </c>
      <c r="G26" s="4">
        <v>19.73</v>
      </c>
      <c r="H26" s="1">
        <f>MAX(D26:G26)</f>
        <v>19.899999999999999</v>
      </c>
      <c r="I26" s="1">
        <f>MIN(D26:G26)</f>
        <v>19.73</v>
      </c>
    </row>
    <row r="27" spans="2:9" ht="15.75" customHeight="1">
      <c r="C27" s="1" t="s">
        <v>39</v>
      </c>
      <c r="D27" s="4">
        <v>19.809999999999999</v>
      </c>
      <c r="E27" s="4">
        <v>19.350000000000001</v>
      </c>
      <c r="F27" s="4">
        <v>19.05</v>
      </c>
      <c r="G27" s="4">
        <v>17.75</v>
      </c>
      <c r="H27" s="1">
        <f>MAX(D27:G27)</f>
        <v>19.809999999999999</v>
      </c>
      <c r="I27" s="1">
        <f>MIN(D27:G27)</f>
        <v>17.75</v>
      </c>
    </row>
    <row r="28" spans="2:9" ht="15.75" customHeight="1">
      <c r="C28" s="1" t="s">
        <v>40</v>
      </c>
      <c r="D28" s="6">
        <v>20.010000000000002</v>
      </c>
      <c r="E28" s="6">
        <v>20.04</v>
      </c>
      <c r="F28" s="6">
        <v>20.07</v>
      </c>
      <c r="G28" s="4">
        <v>19.98</v>
      </c>
      <c r="H28" s="1">
        <f>MAX(D28:G28)</f>
        <v>20.07</v>
      </c>
      <c r="I28" s="1">
        <f>MIN(D28:G28)</f>
        <v>19.98</v>
      </c>
    </row>
    <row r="29" spans="2:9" ht="15.75" customHeight="1">
      <c r="C29" s="1" t="s">
        <v>41</v>
      </c>
      <c r="D29" s="4">
        <v>19.8</v>
      </c>
      <c r="E29" s="4">
        <v>19.559999999999999</v>
      </c>
      <c r="F29" s="4">
        <v>19.5</v>
      </c>
      <c r="G29" s="4">
        <v>19.36</v>
      </c>
      <c r="H29" s="1">
        <f>MAX(D29:G29)</f>
        <v>19.8</v>
      </c>
      <c r="I29" s="1">
        <f>MIN(D29:G29)</f>
        <v>19.36</v>
      </c>
    </row>
    <row r="30" spans="2:9" ht="15">
      <c r="C30" s="1" t="s">
        <v>67</v>
      </c>
      <c r="D30" s="4">
        <v>19.25</v>
      </c>
      <c r="E30" s="4">
        <v>19.3</v>
      </c>
      <c r="F30" s="4">
        <v>18.91</v>
      </c>
      <c r="G30" s="4">
        <v>17.760000000000002</v>
      </c>
      <c r="H30" s="1">
        <f>MAX(D30:G30)</f>
        <v>19.3</v>
      </c>
      <c r="I30" s="1">
        <f>MIN(D30:G30)</f>
        <v>17.760000000000002</v>
      </c>
    </row>
    <row r="31" spans="2:9" ht="15.75" customHeight="1">
      <c r="C31" s="1" t="s">
        <v>68</v>
      </c>
      <c r="D31" s="4">
        <v>19.8</v>
      </c>
      <c r="E31" s="4">
        <v>19.78</v>
      </c>
      <c r="F31" s="4">
        <v>19.73</v>
      </c>
      <c r="G31" s="4">
        <v>19.739999999999998</v>
      </c>
      <c r="H31" s="1">
        <f>MAX(D31:G31)</f>
        <v>19.8</v>
      </c>
      <c r="I31" s="1">
        <f>MIN(D31:G31)</f>
        <v>19.73</v>
      </c>
    </row>
    <row r="32" spans="2:9" ht="15.75" customHeight="1">
      <c r="C32" s="1" t="s">
        <v>45</v>
      </c>
      <c r="D32" s="4">
        <v>19.84</v>
      </c>
      <c r="E32" s="4">
        <v>19.84</v>
      </c>
      <c r="F32" s="4">
        <v>19.72</v>
      </c>
      <c r="G32" s="4">
        <v>19.579999999999998</v>
      </c>
      <c r="H32" s="1">
        <f>MAX(D32:G32)</f>
        <v>19.84</v>
      </c>
      <c r="I32" s="1">
        <f>MIN(D32:G32)</f>
        <v>19.579999999999998</v>
      </c>
    </row>
    <row r="33" spans="3:9" ht="15.75" customHeight="1">
      <c r="C33" s="1" t="s">
        <v>46</v>
      </c>
      <c r="D33" s="4">
        <v>19.88</v>
      </c>
      <c r="E33" s="4">
        <v>19.8</v>
      </c>
      <c r="F33" s="4">
        <v>19.79</v>
      </c>
      <c r="G33" s="4">
        <v>19.760000000000002</v>
      </c>
      <c r="H33" s="1">
        <f>MAX(D33:G33)</f>
        <v>19.88</v>
      </c>
      <c r="I33" s="1">
        <f>MIN(D33:G33)</f>
        <v>19.760000000000002</v>
      </c>
    </row>
  </sheetData>
  <sortState xmlns:xlrd2="http://schemas.microsoft.com/office/spreadsheetml/2017/richdata2" ref="B6:I33">
    <sortCondition ref="C6:C33"/>
  </sortState>
  <mergeCells count="2">
    <mergeCell ref="O11:S11"/>
    <mergeCell ref="F1:G1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621E6-9AFF-45B9-95DC-908A6F5D7FC7}">
  <dimension ref="A1:V32"/>
  <sheetViews>
    <sheetView topLeftCell="A15" workbookViewId="0">
      <selection activeCell="G14" sqref="G14"/>
    </sheetView>
  </sheetViews>
  <sheetFormatPr defaultRowHeight="15"/>
  <cols>
    <col min="1" max="4" width="9.140625" style="13"/>
    <col min="5" max="5" width="15.7109375" style="13" bestFit="1" customWidth="1"/>
    <col min="6" max="6" width="14.5703125" style="13" customWidth="1"/>
    <col min="7" max="8" width="9.140625" style="13"/>
    <col min="9" max="9" width="18.28515625" style="13" customWidth="1"/>
    <col min="10" max="12" width="0" style="13" hidden="1" customWidth="1"/>
    <col min="13" max="13" width="0.140625" style="13" customWidth="1"/>
    <col min="14" max="14" width="11.42578125" style="13" customWidth="1"/>
    <col min="15" max="15" width="9.140625" style="13"/>
    <col min="16" max="16" width="17.42578125" style="13" customWidth="1"/>
    <col min="17" max="20" width="0" style="13" hidden="1" customWidth="1"/>
    <col min="21" max="21" width="14.7109375" style="13" customWidth="1"/>
    <col min="22" max="22" width="13.42578125" style="13" customWidth="1"/>
    <col min="23" max="16384" width="9.140625" style="13"/>
  </cols>
  <sheetData>
    <row r="1" spans="1:22" ht="15" customHeight="1">
      <c r="B1" s="13" t="s">
        <v>74</v>
      </c>
      <c r="C1" s="13">
        <v>0.08</v>
      </c>
      <c r="E1" s="52" t="s">
        <v>75</v>
      </c>
      <c r="F1" s="53"/>
      <c r="I1" s="48" t="s">
        <v>76</v>
      </c>
      <c r="J1" s="49"/>
      <c r="K1" s="49"/>
      <c r="L1" s="49"/>
      <c r="M1" s="49"/>
      <c r="N1" s="49"/>
      <c r="O1" s="50"/>
      <c r="P1" s="48" t="s">
        <v>77</v>
      </c>
      <c r="Q1" s="49"/>
      <c r="R1" s="49"/>
      <c r="S1" s="49"/>
      <c r="T1" s="49"/>
      <c r="U1" s="49"/>
      <c r="V1" s="51"/>
    </row>
    <row r="2" spans="1:22" ht="15" customHeight="1">
      <c r="E2" s="54"/>
      <c r="F2" s="55"/>
      <c r="I2" s="28" t="s">
        <v>0</v>
      </c>
      <c r="J2" s="23"/>
      <c r="K2" s="23"/>
      <c r="L2" s="23"/>
      <c r="M2" s="23"/>
      <c r="N2" s="22" t="s">
        <v>78</v>
      </c>
      <c r="O2" s="36" t="s">
        <v>79</v>
      </c>
      <c r="P2" s="28" t="s">
        <v>0</v>
      </c>
      <c r="Q2" s="23"/>
      <c r="R2" s="23"/>
      <c r="S2" s="23"/>
      <c r="T2" s="23"/>
      <c r="U2" s="22" t="s">
        <v>78</v>
      </c>
      <c r="V2" s="29" t="s">
        <v>79</v>
      </c>
    </row>
    <row r="3" spans="1:22" ht="16.5" customHeight="1">
      <c r="B3" s="13" t="s">
        <v>80</v>
      </c>
      <c r="C3" s="13">
        <v>0.04</v>
      </c>
      <c r="E3" s="56"/>
      <c r="F3" s="55"/>
      <c r="I3" s="30" t="s">
        <v>59</v>
      </c>
      <c r="J3" s="23"/>
      <c r="K3" s="23"/>
      <c r="L3" s="23"/>
      <c r="M3" s="23"/>
      <c r="N3" s="11">
        <v>20.25</v>
      </c>
      <c r="O3" s="37">
        <v>20.12</v>
      </c>
      <c r="P3" s="30" t="s">
        <v>59</v>
      </c>
      <c r="Q3" s="23"/>
      <c r="R3" s="23"/>
      <c r="S3" s="23"/>
      <c r="T3" s="23"/>
      <c r="U3" s="23">
        <v>19.5</v>
      </c>
      <c r="V3" s="31">
        <v>18.02</v>
      </c>
    </row>
    <row r="4" spans="1:22" ht="16.5" customHeight="1">
      <c r="E4" s="42" t="s">
        <v>0</v>
      </c>
      <c r="F4" s="43" t="s">
        <v>81</v>
      </c>
      <c r="I4" s="30" t="s">
        <v>60</v>
      </c>
      <c r="J4" s="23"/>
      <c r="K4" s="23"/>
      <c r="L4" s="23"/>
      <c r="M4" s="23"/>
      <c r="N4" s="11">
        <v>20.03</v>
      </c>
      <c r="O4" s="37">
        <v>20.010000000000002</v>
      </c>
      <c r="P4" s="30" t="s">
        <v>60</v>
      </c>
      <c r="Q4" s="23"/>
      <c r="R4" s="23"/>
      <c r="S4" s="23"/>
      <c r="T4" s="23"/>
      <c r="U4" s="23">
        <v>19.89</v>
      </c>
      <c r="V4" s="31">
        <v>19.73</v>
      </c>
    </row>
    <row r="5" spans="1:22">
      <c r="A5" s="1" t="s">
        <v>37</v>
      </c>
      <c r="E5" s="21" t="s">
        <v>59</v>
      </c>
      <c r="F5" s="40">
        <f>N3-V3</f>
        <v>2.2300000000000004</v>
      </c>
      <c r="I5" s="30" t="s">
        <v>61</v>
      </c>
      <c r="J5" s="24"/>
      <c r="K5" s="24"/>
      <c r="L5" s="24"/>
      <c r="M5" s="24"/>
      <c r="N5" s="11">
        <v>20.05</v>
      </c>
      <c r="O5" s="37">
        <v>20.010000000000002</v>
      </c>
      <c r="P5" s="30" t="s">
        <v>61</v>
      </c>
      <c r="Q5" s="24"/>
      <c r="R5" s="24"/>
      <c r="S5" s="24"/>
      <c r="T5" s="24"/>
      <c r="U5" s="23">
        <v>19.899999999999999</v>
      </c>
      <c r="V5" s="31">
        <v>19.760000000000002</v>
      </c>
    </row>
    <row r="6" spans="1:22">
      <c r="A6" s="1" t="s">
        <v>42</v>
      </c>
      <c r="E6" s="21" t="s">
        <v>60</v>
      </c>
      <c r="F6" s="40">
        <f>N4-V4</f>
        <v>0.30000000000000071</v>
      </c>
      <c r="I6" s="30" t="s">
        <v>6</v>
      </c>
      <c r="J6" s="23"/>
      <c r="K6" s="23"/>
      <c r="L6" s="23"/>
      <c r="M6" s="23"/>
      <c r="N6" s="11">
        <v>20.05</v>
      </c>
      <c r="O6" s="37">
        <v>20.05</v>
      </c>
      <c r="P6" s="30" t="s">
        <v>6</v>
      </c>
      <c r="Q6" s="25"/>
      <c r="R6" s="25"/>
      <c r="S6" s="25"/>
      <c r="T6" s="25"/>
      <c r="U6" s="23">
        <v>19.649999999999999</v>
      </c>
      <c r="V6" s="31">
        <v>19.46</v>
      </c>
    </row>
    <row r="7" spans="1:22">
      <c r="A7" s="1" t="s">
        <v>43</v>
      </c>
      <c r="E7" s="21" t="s">
        <v>61</v>
      </c>
      <c r="F7" s="40">
        <f>N5-V5</f>
        <v>0.28999999999999915</v>
      </c>
      <c r="I7" s="30" t="s">
        <v>8</v>
      </c>
      <c r="J7" s="23"/>
      <c r="K7" s="23"/>
      <c r="L7" s="23"/>
      <c r="M7" s="23"/>
      <c r="N7" s="11">
        <v>20.149999999999999</v>
      </c>
      <c r="O7" s="37">
        <v>20.059999999999999</v>
      </c>
      <c r="P7" s="30" t="s">
        <v>8</v>
      </c>
      <c r="Q7" s="25"/>
      <c r="R7" s="25"/>
      <c r="S7" s="25"/>
      <c r="T7" s="25"/>
      <c r="U7" s="23">
        <v>19.48</v>
      </c>
      <c r="V7" s="31">
        <v>19</v>
      </c>
    </row>
    <row r="8" spans="1:22">
      <c r="E8" s="21" t="s">
        <v>6</v>
      </c>
      <c r="F8" s="40">
        <f>N6-V6</f>
        <v>0.58999999999999986</v>
      </c>
      <c r="I8" s="30" t="s">
        <v>10</v>
      </c>
      <c r="J8" s="23"/>
      <c r="K8" s="23"/>
      <c r="L8" s="23"/>
      <c r="M8" s="23"/>
      <c r="N8" s="11">
        <v>20.05</v>
      </c>
      <c r="O8" s="37">
        <v>20.03</v>
      </c>
      <c r="P8" s="30" t="s">
        <v>10</v>
      </c>
      <c r="Q8" s="25"/>
      <c r="R8" s="25"/>
      <c r="S8" s="25"/>
      <c r="T8" s="25"/>
      <c r="U8" s="23">
        <v>19.920000000000002</v>
      </c>
      <c r="V8" s="31">
        <v>19.75</v>
      </c>
    </row>
    <row r="9" spans="1:22">
      <c r="E9" s="21" t="s">
        <v>8</v>
      </c>
      <c r="F9" s="40">
        <f t="shared" ref="F9:F32" si="0">N7-V7</f>
        <v>1.1499999999999986</v>
      </c>
      <c r="I9" s="30" t="s">
        <v>12</v>
      </c>
      <c r="J9" s="23"/>
      <c r="K9" s="23"/>
      <c r="L9" s="23"/>
      <c r="M9" s="23"/>
      <c r="N9" s="11">
        <v>20.170000000000002</v>
      </c>
      <c r="O9" s="37">
        <v>20.02</v>
      </c>
      <c r="P9" s="30" t="s">
        <v>12</v>
      </c>
      <c r="Q9" s="25"/>
      <c r="R9" s="25"/>
      <c r="S9" s="25"/>
      <c r="T9" s="25"/>
      <c r="U9" s="23">
        <v>19.79</v>
      </c>
      <c r="V9" s="31">
        <v>19.38</v>
      </c>
    </row>
    <row r="10" spans="1:22">
      <c r="E10" s="21" t="s">
        <v>10</v>
      </c>
      <c r="F10" s="40">
        <f t="shared" si="0"/>
        <v>0.30000000000000071</v>
      </c>
      <c r="I10" s="30" t="s">
        <v>14</v>
      </c>
      <c r="J10" s="23"/>
      <c r="K10" s="23"/>
      <c r="L10" s="23"/>
      <c r="M10" s="23"/>
      <c r="N10" s="11">
        <v>20.25</v>
      </c>
      <c r="O10" s="37">
        <v>20.04</v>
      </c>
      <c r="P10" s="30" t="s">
        <v>14</v>
      </c>
      <c r="Q10" s="25"/>
      <c r="R10" s="25"/>
      <c r="S10" s="25"/>
      <c r="T10" s="25"/>
      <c r="U10" s="23">
        <v>19.940000000000001</v>
      </c>
      <c r="V10" s="31">
        <v>18.73</v>
      </c>
    </row>
    <row r="11" spans="1:22">
      <c r="E11" s="21" t="s">
        <v>12</v>
      </c>
      <c r="F11" s="40">
        <f t="shared" si="0"/>
        <v>0.7900000000000027</v>
      </c>
      <c r="I11" s="30" t="s">
        <v>16</v>
      </c>
      <c r="J11" s="23"/>
      <c r="K11" s="23"/>
      <c r="L11" s="23"/>
      <c r="M11" s="23"/>
      <c r="N11" s="11">
        <v>20.07</v>
      </c>
      <c r="O11" s="37">
        <v>20.04</v>
      </c>
      <c r="P11" s="30" t="s">
        <v>16</v>
      </c>
      <c r="Q11" s="25"/>
      <c r="R11" s="25"/>
      <c r="S11" s="25"/>
      <c r="T11" s="25"/>
      <c r="U11" s="23">
        <v>19.57</v>
      </c>
      <c r="V11" s="31">
        <v>19.5</v>
      </c>
    </row>
    <row r="12" spans="1:22">
      <c r="E12" s="21" t="s">
        <v>14</v>
      </c>
      <c r="F12" s="40">
        <f t="shared" si="0"/>
        <v>1.5199999999999996</v>
      </c>
      <c r="I12" s="30" t="s">
        <v>18</v>
      </c>
      <c r="J12" s="23"/>
      <c r="K12" s="23"/>
      <c r="L12" s="23"/>
      <c r="M12" s="23"/>
      <c r="N12" s="11">
        <v>20.04</v>
      </c>
      <c r="O12" s="37">
        <v>20</v>
      </c>
      <c r="P12" s="30" t="s">
        <v>18</v>
      </c>
      <c r="Q12" s="25"/>
      <c r="R12" s="25"/>
      <c r="S12" s="25"/>
      <c r="T12" s="25"/>
      <c r="U12" s="23">
        <v>19.760000000000002</v>
      </c>
      <c r="V12" s="31">
        <v>19.54</v>
      </c>
    </row>
    <row r="13" spans="1:22">
      <c r="E13" s="21" t="s">
        <v>16</v>
      </c>
      <c r="F13" s="40">
        <f t="shared" si="0"/>
        <v>0.57000000000000028</v>
      </c>
      <c r="I13" s="30" t="s">
        <v>20</v>
      </c>
      <c r="J13" s="23"/>
      <c r="K13" s="23"/>
      <c r="L13" s="23"/>
      <c r="M13" s="23"/>
      <c r="N13" s="11">
        <v>20.149999999999999</v>
      </c>
      <c r="O13" s="37">
        <v>20.02</v>
      </c>
      <c r="P13" s="30" t="s">
        <v>20</v>
      </c>
      <c r="Q13" s="25"/>
      <c r="R13" s="25"/>
      <c r="S13" s="25"/>
      <c r="T13" s="25"/>
      <c r="U13" s="23">
        <v>19.760000000000002</v>
      </c>
      <c r="V13" s="31">
        <v>18.64</v>
      </c>
    </row>
    <row r="14" spans="1:22">
      <c r="E14" s="21" t="s">
        <v>18</v>
      </c>
      <c r="F14" s="40">
        <f t="shared" si="0"/>
        <v>0.5</v>
      </c>
      <c r="I14" s="30" t="s">
        <v>22</v>
      </c>
      <c r="J14" s="23"/>
      <c r="K14" s="23"/>
      <c r="L14" s="23"/>
      <c r="M14" s="23"/>
      <c r="N14" s="11">
        <v>20.05</v>
      </c>
      <c r="O14" s="37">
        <v>20.02</v>
      </c>
      <c r="P14" s="30" t="s">
        <v>22</v>
      </c>
      <c r="Q14" s="26"/>
      <c r="R14" s="26"/>
      <c r="S14" s="25"/>
      <c r="T14" s="25"/>
      <c r="U14" s="23">
        <v>19.91</v>
      </c>
      <c r="V14" s="31">
        <v>19.739999999999998</v>
      </c>
    </row>
    <row r="15" spans="1:22">
      <c r="E15" s="21" t="s">
        <v>20</v>
      </c>
      <c r="F15" s="40">
        <f t="shared" si="0"/>
        <v>1.509999999999998</v>
      </c>
      <c r="I15" s="30" t="s">
        <v>24</v>
      </c>
      <c r="J15" s="23"/>
      <c r="K15" s="23"/>
      <c r="L15" s="23"/>
      <c r="M15" s="23"/>
      <c r="N15" s="11">
        <v>20.05</v>
      </c>
      <c r="O15" s="37">
        <v>20.04</v>
      </c>
      <c r="P15" s="30" t="s">
        <v>24</v>
      </c>
      <c r="Q15" s="25"/>
      <c r="R15" s="25"/>
      <c r="S15" s="25"/>
      <c r="T15" s="25"/>
      <c r="U15" s="23">
        <v>19.399999999999999</v>
      </c>
      <c r="V15" s="31">
        <v>19.32</v>
      </c>
    </row>
    <row r="16" spans="1:22">
      <c r="E16" s="21" t="s">
        <v>22</v>
      </c>
      <c r="F16" s="40">
        <f t="shared" si="0"/>
        <v>0.31000000000000227</v>
      </c>
      <c r="I16" s="30" t="s">
        <v>27</v>
      </c>
      <c r="J16" s="23"/>
      <c r="K16" s="23"/>
      <c r="L16" s="23"/>
      <c r="M16" s="23"/>
      <c r="N16" s="11" t="s">
        <v>66</v>
      </c>
      <c r="O16" s="37" t="s">
        <v>66</v>
      </c>
      <c r="P16" s="30" t="s">
        <v>27</v>
      </c>
      <c r="Q16" s="27"/>
      <c r="R16" s="27"/>
      <c r="S16" s="27"/>
      <c r="T16" s="27"/>
      <c r="U16" s="23" t="s">
        <v>66</v>
      </c>
      <c r="V16" s="31" t="s">
        <v>66</v>
      </c>
    </row>
    <row r="17" spans="5:22">
      <c r="E17" s="21" t="s">
        <v>24</v>
      </c>
      <c r="F17" s="40">
        <f t="shared" si="0"/>
        <v>0.73000000000000043</v>
      </c>
      <c r="I17" s="30" t="s">
        <v>29</v>
      </c>
      <c r="J17" s="23"/>
      <c r="K17" s="23"/>
      <c r="L17" s="23"/>
      <c r="M17" s="23"/>
      <c r="N17" s="11">
        <v>20.059999999999999</v>
      </c>
      <c r="O17" s="37">
        <v>20.04</v>
      </c>
      <c r="P17" s="30" t="s">
        <v>29</v>
      </c>
      <c r="Q17" s="25"/>
      <c r="R17" s="25"/>
      <c r="S17" s="25"/>
      <c r="T17" s="25"/>
      <c r="U17" s="23">
        <v>19.899999999999999</v>
      </c>
      <c r="V17" s="31">
        <v>19.82</v>
      </c>
    </row>
    <row r="18" spans="5:22">
      <c r="E18" s="21" t="s">
        <v>27</v>
      </c>
      <c r="F18" s="40" t="e">
        <f t="shared" si="0"/>
        <v>#VALUE!</v>
      </c>
      <c r="I18" s="30" t="s">
        <v>31</v>
      </c>
      <c r="J18" s="23"/>
      <c r="K18" s="23"/>
      <c r="L18" s="23"/>
      <c r="M18" s="23"/>
      <c r="N18" s="11">
        <v>20.079999999999998</v>
      </c>
      <c r="O18" s="37">
        <v>20.04</v>
      </c>
      <c r="P18" s="30" t="s">
        <v>31</v>
      </c>
      <c r="Q18" s="25"/>
      <c r="R18" s="25"/>
      <c r="S18" s="25"/>
      <c r="T18" s="25"/>
      <c r="U18" s="23">
        <v>19.87</v>
      </c>
      <c r="V18" s="31">
        <v>19.68</v>
      </c>
    </row>
    <row r="19" spans="5:22">
      <c r="E19" s="21" t="s">
        <v>29</v>
      </c>
      <c r="F19" s="40">
        <f t="shared" si="0"/>
        <v>0.23999999999999844</v>
      </c>
      <c r="I19" s="30" t="s">
        <v>33</v>
      </c>
      <c r="J19" s="23"/>
      <c r="K19" s="23"/>
      <c r="L19" s="23"/>
      <c r="M19" s="23"/>
      <c r="N19" s="11">
        <v>20.04</v>
      </c>
      <c r="O19" s="37">
        <v>20.010000000000002</v>
      </c>
      <c r="P19" s="30" t="s">
        <v>33</v>
      </c>
      <c r="Q19" s="25"/>
      <c r="R19" s="25"/>
      <c r="S19" s="25"/>
      <c r="T19" s="25"/>
      <c r="U19" s="23">
        <v>20.05</v>
      </c>
      <c r="V19" s="31">
        <v>20.010000000000002</v>
      </c>
    </row>
    <row r="20" spans="5:22">
      <c r="E20" s="21" t="s">
        <v>31</v>
      </c>
      <c r="F20" s="40">
        <f t="shared" si="0"/>
        <v>0.39999999999999858</v>
      </c>
      <c r="I20" s="30" t="s">
        <v>34</v>
      </c>
      <c r="J20" s="23"/>
      <c r="K20" s="23"/>
      <c r="L20" s="23"/>
      <c r="M20" s="23"/>
      <c r="N20" s="11">
        <v>20.05</v>
      </c>
      <c r="O20" s="37">
        <v>20.02</v>
      </c>
      <c r="P20" s="30" t="s">
        <v>34</v>
      </c>
      <c r="Q20" s="25"/>
      <c r="R20" s="25"/>
      <c r="S20" s="25"/>
      <c r="T20" s="25"/>
      <c r="U20" s="23">
        <v>19.739999999999998</v>
      </c>
      <c r="V20" s="31">
        <v>19.66</v>
      </c>
    </row>
    <row r="21" spans="5:22">
      <c r="E21" s="21" t="s">
        <v>33</v>
      </c>
      <c r="F21" s="40">
        <f t="shared" si="0"/>
        <v>2.9999999999997584E-2</v>
      </c>
      <c r="I21" s="30" t="s">
        <v>35</v>
      </c>
      <c r="J21" s="23"/>
      <c r="K21" s="23"/>
      <c r="L21" s="23"/>
      <c r="M21" s="23"/>
      <c r="N21" s="11">
        <v>20.03</v>
      </c>
      <c r="O21" s="37">
        <v>20</v>
      </c>
      <c r="P21" s="30" t="s">
        <v>35</v>
      </c>
      <c r="Q21" s="27"/>
      <c r="R21" s="27"/>
      <c r="S21" s="27"/>
      <c r="T21" s="25"/>
      <c r="U21" s="23">
        <v>19.38</v>
      </c>
      <c r="V21" s="31">
        <v>19.28</v>
      </c>
    </row>
    <row r="22" spans="5:22">
      <c r="E22" s="21" t="s">
        <v>34</v>
      </c>
      <c r="F22" s="40">
        <f t="shared" si="0"/>
        <v>0.39000000000000057</v>
      </c>
      <c r="I22" s="30" t="s">
        <v>36</v>
      </c>
      <c r="J22" s="23"/>
      <c r="K22" s="23"/>
      <c r="L22" s="23"/>
      <c r="M22" s="23"/>
      <c r="N22" s="11">
        <v>20.149999999999999</v>
      </c>
      <c r="O22" s="37">
        <v>20.05</v>
      </c>
      <c r="P22" s="30" t="s">
        <v>36</v>
      </c>
      <c r="Q22" s="25"/>
      <c r="R22" s="25"/>
      <c r="S22" s="25"/>
      <c r="T22" s="25"/>
      <c r="U22" s="23">
        <v>19.66</v>
      </c>
      <c r="V22" s="31">
        <v>18.8</v>
      </c>
    </row>
    <row r="23" spans="5:22">
      <c r="E23" s="21" t="s">
        <v>35</v>
      </c>
      <c r="F23" s="40">
        <f t="shared" si="0"/>
        <v>0.75</v>
      </c>
      <c r="I23" s="30" t="s">
        <v>38</v>
      </c>
      <c r="J23" s="23"/>
      <c r="K23" s="23"/>
      <c r="L23" s="23"/>
      <c r="M23" s="23"/>
      <c r="N23" s="11">
        <v>20.05</v>
      </c>
      <c r="O23" s="37">
        <v>20.02</v>
      </c>
      <c r="P23" s="30" t="s">
        <v>38</v>
      </c>
      <c r="Q23" s="25"/>
      <c r="R23" s="25"/>
      <c r="S23" s="25"/>
      <c r="T23" s="25"/>
      <c r="U23" s="23">
        <v>19.899999999999999</v>
      </c>
      <c r="V23" s="31">
        <v>19.73</v>
      </c>
    </row>
    <row r="24" spans="5:22">
      <c r="E24" s="21" t="s">
        <v>36</v>
      </c>
      <c r="F24" s="40">
        <f t="shared" si="0"/>
        <v>1.3499999999999979</v>
      </c>
      <c r="I24" s="30" t="s">
        <v>39</v>
      </c>
      <c r="J24" s="23"/>
      <c r="K24" s="23"/>
      <c r="L24" s="23"/>
      <c r="M24" s="23"/>
      <c r="N24" s="11">
        <v>20.39</v>
      </c>
      <c r="O24" s="37">
        <v>20.04</v>
      </c>
      <c r="P24" s="30" t="s">
        <v>39</v>
      </c>
      <c r="Q24" s="25"/>
      <c r="R24" s="25"/>
      <c r="S24" s="25"/>
      <c r="T24" s="25"/>
      <c r="U24" s="23">
        <v>19.809999999999999</v>
      </c>
      <c r="V24" s="31">
        <v>17.75</v>
      </c>
    </row>
    <row r="25" spans="5:22">
      <c r="E25" s="21" t="s">
        <v>38</v>
      </c>
      <c r="F25" s="40">
        <f t="shared" si="0"/>
        <v>0.32000000000000028</v>
      </c>
      <c r="I25" s="30" t="s">
        <v>40</v>
      </c>
      <c r="J25" s="23"/>
      <c r="K25" s="23"/>
      <c r="L25" s="23"/>
      <c r="M25" s="23"/>
      <c r="N25" s="11">
        <v>20.04</v>
      </c>
      <c r="O25" s="37">
        <v>20.010000000000002</v>
      </c>
      <c r="P25" s="30" t="s">
        <v>40</v>
      </c>
      <c r="Q25" s="23"/>
      <c r="R25" s="23"/>
      <c r="S25" s="23"/>
      <c r="T25" s="23"/>
      <c r="U25" s="23">
        <v>20.07</v>
      </c>
      <c r="V25" s="31">
        <v>19.98</v>
      </c>
    </row>
    <row r="26" spans="5:22">
      <c r="E26" s="21" t="s">
        <v>39</v>
      </c>
      <c r="F26" s="40">
        <f t="shared" si="0"/>
        <v>2.6400000000000006</v>
      </c>
      <c r="I26" s="30" t="s">
        <v>41</v>
      </c>
      <c r="J26" s="23"/>
      <c r="K26" s="23"/>
      <c r="L26" s="23"/>
      <c r="M26" s="23"/>
      <c r="N26" s="11">
        <v>20.07</v>
      </c>
      <c r="O26" s="37">
        <v>20.02</v>
      </c>
      <c r="P26" s="30" t="s">
        <v>41</v>
      </c>
      <c r="Q26" s="23"/>
      <c r="R26" s="23"/>
      <c r="S26" s="23"/>
      <c r="T26" s="23"/>
      <c r="U26" s="23">
        <v>19.8</v>
      </c>
      <c r="V26" s="31">
        <v>19.36</v>
      </c>
    </row>
    <row r="27" spans="5:22">
      <c r="E27" s="21" t="s">
        <v>40</v>
      </c>
      <c r="F27" s="40">
        <f t="shared" si="0"/>
        <v>5.9999999999998721E-2</v>
      </c>
      <c r="I27" s="30" t="s">
        <v>67</v>
      </c>
      <c r="J27" s="23"/>
      <c r="K27" s="23"/>
      <c r="L27" s="23"/>
      <c r="M27" s="23"/>
      <c r="N27" s="11">
        <v>20.440000000000001</v>
      </c>
      <c r="O27" s="37">
        <v>20</v>
      </c>
      <c r="P27" s="30" t="s">
        <v>67</v>
      </c>
      <c r="Q27" s="23"/>
      <c r="R27" s="23"/>
      <c r="S27" s="23"/>
      <c r="T27" s="23"/>
      <c r="U27" s="23">
        <v>19.3</v>
      </c>
      <c r="V27" s="31">
        <v>17.760000000000002</v>
      </c>
    </row>
    <row r="28" spans="5:22">
      <c r="E28" s="21" t="s">
        <v>41</v>
      </c>
      <c r="F28" s="40">
        <f t="shared" si="0"/>
        <v>0.71000000000000085</v>
      </c>
      <c r="I28" s="30" t="s">
        <v>68</v>
      </c>
      <c r="J28" s="23"/>
      <c r="K28" s="23"/>
      <c r="L28" s="23"/>
      <c r="M28" s="23"/>
      <c r="N28" s="11">
        <v>20.47</v>
      </c>
      <c r="O28" s="37">
        <v>20.239999999999998</v>
      </c>
      <c r="P28" s="30" t="s">
        <v>68</v>
      </c>
      <c r="Q28" s="23"/>
      <c r="R28" s="23"/>
      <c r="S28" s="23"/>
      <c r="T28" s="23"/>
      <c r="U28" s="23">
        <v>19.8</v>
      </c>
      <c r="V28" s="31">
        <v>19.73</v>
      </c>
    </row>
    <row r="29" spans="5:22">
      <c r="E29" s="21" t="s">
        <v>67</v>
      </c>
      <c r="F29" s="40">
        <f t="shared" si="0"/>
        <v>2.6799999999999997</v>
      </c>
      <c r="I29" s="30" t="s">
        <v>45</v>
      </c>
      <c r="J29" s="23"/>
      <c r="K29" s="23"/>
      <c r="L29" s="23"/>
      <c r="M29" s="23"/>
      <c r="N29" s="11">
        <v>20.03</v>
      </c>
      <c r="O29" s="37">
        <v>20.02</v>
      </c>
      <c r="P29" s="30" t="s">
        <v>45</v>
      </c>
      <c r="Q29" s="23"/>
      <c r="R29" s="23"/>
      <c r="S29" s="23"/>
      <c r="T29" s="23"/>
      <c r="U29" s="23">
        <v>19.84</v>
      </c>
      <c r="V29" s="31">
        <v>19.579999999999998</v>
      </c>
    </row>
    <row r="30" spans="5:22">
      <c r="E30" s="21" t="s">
        <v>68</v>
      </c>
      <c r="F30" s="40">
        <f t="shared" si="0"/>
        <v>0.73999999999999844</v>
      </c>
      <c r="I30" s="32" t="s">
        <v>46</v>
      </c>
      <c r="J30" s="33"/>
      <c r="K30" s="33"/>
      <c r="L30" s="33"/>
      <c r="M30" s="33"/>
      <c r="N30" s="34">
        <v>20.03</v>
      </c>
      <c r="O30" s="38">
        <v>20.010000000000002</v>
      </c>
      <c r="P30" s="32" t="s">
        <v>46</v>
      </c>
      <c r="Q30" s="33"/>
      <c r="R30" s="33"/>
      <c r="S30" s="33"/>
      <c r="T30" s="33"/>
      <c r="U30" s="33">
        <v>19.88</v>
      </c>
      <c r="V30" s="35">
        <v>19.760000000000002</v>
      </c>
    </row>
    <row r="31" spans="5:22">
      <c r="E31" s="21" t="s">
        <v>45</v>
      </c>
      <c r="F31" s="40">
        <f t="shared" si="0"/>
        <v>0.45000000000000284</v>
      </c>
    </row>
    <row r="32" spans="5:22">
      <c r="E32" s="39" t="s">
        <v>46</v>
      </c>
      <c r="F32" s="41">
        <f t="shared" si="0"/>
        <v>0.26999999999999957</v>
      </c>
    </row>
  </sheetData>
  <mergeCells count="3">
    <mergeCell ref="I1:O1"/>
    <mergeCell ref="P1:V1"/>
    <mergeCell ref="E1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B4544-5963-4CD5-AF44-AE7AB4EA8A87}">
  <dimension ref="E3:R33"/>
  <sheetViews>
    <sheetView topLeftCell="E1" workbookViewId="0">
      <selection activeCell="L8" sqref="L8"/>
    </sheetView>
  </sheetViews>
  <sheetFormatPr defaultRowHeight="15"/>
  <cols>
    <col min="1" max="4" width="9.140625" style="10"/>
    <col min="5" max="5" width="15.42578125" style="10" customWidth="1"/>
    <col min="6" max="6" width="9.140625" style="10"/>
    <col min="7" max="7" width="14.42578125" style="10" customWidth="1"/>
    <col min="8" max="9" width="9.140625" style="10"/>
    <col min="10" max="10" width="17" style="10" bestFit="1" customWidth="1"/>
    <col min="11" max="11" width="16.140625" style="10" customWidth="1"/>
    <col min="12" max="14" width="9.140625" style="10"/>
    <col min="15" max="15" width="18.7109375" style="10" customWidth="1"/>
    <col min="16" max="16384" width="9.140625" style="10"/>
  </cols>
  <sheetData>
    <row r="3" spans="5:18" ht="16.5">
      <c r="E3" s="10" t="s">
        <v>82</v>
      </c>
      <c r="G3" s="10" t="s">
        <v>74</v>
      </c>
      <c r="J3" s="17" t="s">
        <v>0</v>
      </c>
      <c r="K3" s="17" t="s">
        <v>83</v>
      </c>
      <c r="O3" s="19" t="s">
        <v>84</v>
      </c>
    </row>
    <row r="4" spans="5:18">
      <c r="J4" s="18" t="s">
        <v>59</v>
      </c>
      <c r="K4" s="18" t="s">
        <v>85</v>
      </c>
      <c r="O4" s="10" t="s">
        <v>59</v>
      </c>
    </row>
    <row r="5" spans="5:18">
      <c r="E5" s="10" t="s">
        <v>86</v>
      </c>
      <c r="G5" s="10" t="s">
        <v>87</v>
      </c>
      <c r="J5" s="18" t="s">
        <v>60</v>
      </c>
      <c r="K5" s="18" t="s">
        <v>88</v>
      </c>
      <c r="O5" s="10" t="s">
        <v>60</v>
      </c>
      <c r="R5" s="1"/>
    </row>
    <row r="6" spans="5:18">
      <c r="J6" s="18" t="s">
        <v>61</v>
      </c>
      <c r="K6" s="18" t="s">
        <v>89</v>
      </c>
      <c r="O6" s="10" t="s">
        <v>8</v>
      </c>
      <c r="R6" s="1"/>
    </row>
    <row r="7" spans="5:18">
      <c r="J7" s="18" t="s">
        <v>90</v>
      </c>
      <c r="K7" s="18" t="s">
        <v>91</v>
      </c>
      <c r="O7" s="10" t="s">
        <v>10</v>
      </c>
      <c r="R7" s="1"/>
    </row>
    <row r="8" spans="5:18">
      <c r="J8" s="18" t="s">
        <v>6</v>
      </c>
      <c r="K8" s="18" t="s">
        <v>92</v>
      </c>
      <c r="O8" s="10" t="s">
        <v>14</v>
      </c>
      <c r="R8" s="1"/>
    </row>
    <row r="9" spans="5:18">
      <c r="J9" s="18" t="s">
        <v>8</v>
      </c>
      <c r="K9" s="18" t="s">
        <v>93</v>
      </c>
      <c r="O9" s="10" t="s">
        <v>16</v>
      </c>
      <c r="R9" s="1"/>
    </row>
    <row r="10" spans="5:18">
      <c r="J10" s="18" t="s">
        <v>10</v>
      </c>
      <c r="K10" s="18" t="s">
        <v>85</v>
      </c>
      <c r="O10" s="10" t="s">
        <v>18</v>
      </c>
      <c r="R10" s="1"/>
    </row>
    <row r="11" spans="5:18">
      <c r="J11" s="18" t="s">
        <v>12</v>
      </c>
      <c r="K11" s="18" t="s">
        <v>94</v>
      </c>
      <c r="O11" s="10" t="s">
        <v>20</v>
      </c>
      <c r="R11" s="1"/>
    </row>
    <row r="12" spans="5:18">
      <c r="J12" s="18" t="s">
        <v>14</v>
      </c>
      <c r="K12" s="18" t="s">
        <v>95</v>
      </c>
      <c r="O12" s="10" t="s">
        <v>22</v>
      </c>
      <c r="R12" s="1"/>
    </row>
    <row r="13" spans="5:18">
      <c r="J13" s="18" t="s">
        <v>16</v>
      </c>
      <c r="K13" s="18" t="s">
        <v>93</v>
      </c>
      <c r="O13" s="10" t="s">
        <v>24</v>
      </c>
      <c r="R13" s="1"/>
    </row>
    <row r="14" spans="5:18">
      <c r="J14" s="18" t="s">
        <v>18</v>
      </c>
      <c r="K14" s="18" t="s">
        <v>96</v>
      </c>
      <c r="O14" s="10" t="s">
        <v>29</v>
      </c>
      <c r="R14" s="1"/>
    </row>
    <row r="15" spans="5:18">
      <c r="J15" s="18" t="s">
        <v>20</v>
      </c>
      <c r="K15" s="18" t="s">
        <v>96</v>
      </c>
      <c r="O15" s="10" t="s">
        <v>31</v>
      </c>
      <c r="R15" s="1"/>
    </row>
    <row r="16" spans="5:18">
      <c r="J16" s="18" t="s">
        <v>22</v>
      </c>
      <c r="K16" s="18" t="s">
        <v>97</v>
      </c>
      <c r="O16" s="10" t="s">
        <v>33</v>
      </c>
      <c r="R16" s="1"/>
    </row>
    <row r="17" spans="10:18">
      <c r="J17" s="18" t="s">
        <v>24</v>
      </c>
      <c r="K17" s="18" t="s">
        <v>97</v>
      </c>
      <c r="O17" s="10" t="s">
        <v>34</v>
      </c>
      <c r="R17" s="1"/>
    </row>
    <row r="18" spans="10:18">
      <c r="J18" s="18" t="s">
        <v>27</v>
      </c>
      <c r="K18" s="18" t="s">
        <v>66</v>
      </c>
      <c r="O18" s="10" t="s">
        <v>35</v>
      </c>
      <c r="R18" s="1"/>
    </row>
    <row r="19" spans="10:18">
      <c r="J19" s="18" t="s">
        <v>29</v>
      </c>
      <c r="K19" s="18" t="s">
        <v>85</v>
      </c>
      <c r="O19" s="10" t="s">
        <v>38</v>
      </c>
      <c r="R19" s="1"/>
    </row>
    <row r="20" spans="10:18">
      <c r="J20" s="18" t="s">
        <v>31</v>
      </c>
      <c r="K20" s="18" t="s">
        <v>95</v>
      </c>
      <c r="O20" s="10" t="s">
        <v>40</v>
      </c>
      <c r="R20" s="1"/>
    </row>
    <row r="21" spans="10:18">
      <c r="J21" s="18" t="s">
        <v>33</v>
      </c>
      <c r="K21" s="18" t="s">
        <v>95</v>
      </c>
      <c r="O21" s="10" t="s">
        <v>41</v>
      </c>
      <c r="R21" s="1"/>
    </row>
    <row r="22" spans="10:18">
      <c r="J22" s="18" t="s">
        <v>34</v>
      </c>
      <c r="K22" s="18" t="s">
        <v>98</v>
      </c>
      <c r="O22" s="10" t="s">
        <v>45</v>
      </c>
      <c r="R22" s="1"/>
    </row>
    <row r="23" spans="10:18">
      <c r="J23" s="18" t="s">
        <v>35</v>
      </c>
      <c r="K23" s="18" t="s">
        <v>98</v>
      </c>
      <c r="O23" s="10" t="s">
        <v>46</v>
      </c>
      <c r="R23" s="1"/>
    </row>
    <row r="24" spans="10:18">
      <c r="J24" s="18" t="s">
        <v>36</v>
      </c>
      <c r="K24" s="18" t="s">
        <v>99</v>
      </c>
      <c r="R24" s="1"/>
    </row>
    <row r="25" spans="10:18">
      <c r="J25" s="18" t="s">
        <v>38</v>
      </c>
      <c r="K25" s="18" t="s">
        <v>93</v>
      </c>
      <c r="R25" s="1"/>
    </row>
    <row r="26" spans="10:18">
      <c r="J26" s="18" t="s">
        <v>39</v>
      </c>
      <c r="K26" s="18" t="s">
        <v>100</v>
      </c>
      <c r="R26" s="1"/>
    </row>
    <row r="27" spans="10:18">
      <c r="J27" s="18" t="s">
        <v>40</v>
      </c>
      <c r="K27" s="18" t="s">
        <v>85</v>
      </c>
      <c r="R27" s="1"/>
    </row>
    <row r="28" spans="10:18">
      <c r="J28" s="18" t="s">
        <v>41</v>
      </c>
      <c r="K28" s="18" t="s">
        <v>95</v>
      </c>
      <c r="R28" s="1"/>
    </row>
    <row r="29" spans="10:18">
      <c r="J29" s="18" t="s">
        <v>44</v>
      </c>
      <c r="K29" s="18" t="s">
        <v>91</v>
      </c>
      <c r="R29" s="1"/>
    </row>
    <row r="30" spans="10:18">
      <c r="J30" s="18" t="s">
        <v>45</v>
      </c>
      <c r="K30" s="18" t="s">
        <v>85</v>
      </c>
      <c r="R30" s="1"/>
    </row>
    <row r="31" spans="10:18">
      <c r="J31" s="18" t="s">
        <v>46</v>
      </c>
      <c r="K31" s="18" t="s">
        <v>93</v>
      </c>
      <c r="R31" s="1"/>
    </row>
    <row r="32" spans="10:18">
      <c r="R32" s="1"/>
    </row>
    <row r="33" spans="18:18">
      <c r="R33" s="1"/>
    </row>
  </sheetData>
  <sortState xmlns:xlrd2="http://schemas.microsoft.com/office/spreadsheetml/2017/richdata2" ref="N5:O33">
    <sortCondition ref="O5:O3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C6408-BDC5-4E53-A88B-3B843E540EA9}">
  <dimension ref="C3:E9"/>
  <sheetViews>
    <sheetView workbookViewId="0">
      <selection activeCell="J18" sqref="J18"/>
    </sheetView>
  </sheetViews>
  <sheetFormatPr defaultRowHeight="15"/>
  <cols>
    <col min="1" max="16384" width="9.140625" style="10"/>
  </cols>
  <sheetData>
    <row r="3" spans="3:5">
      <c r="C3" s="57" t="s">
        <v>60</v>
      </c>
      <c r="D3" s="57">
        <v>0.3</v>
      </c>
      <c r="E3" s="57" t="s">
        <v>101</v>
      </c>
    </row>
    <row r="4" spans="3:5">
      <c r="C4" s="10" t="s">
        <v>18</v>
      </c>
      <c r="D4" s="10">
        <v>0.5</v>
      </c>
      <c r="E4" s="10" t="s">
        <v>102</v>
      </c>
    </row>
    <row r="5" spans="3:5">
      <c r="C5" s="57" t="s">
        <v>33</v>
      </c>
      <c r="D5" s="57">
        <v>0.03</v>
      </c>
      <c r="E5" s="57" t="s">
        <v>103</v>
      </c>
    </row>
    <row r="6" spans="3:5">
      <c r="C6" s="10" t="s">
        <v>34</v>
      </c>
      <c r="D6" s="10">
        <v>0.39</v>
      </c>
      <c r="E6" s="10" t="s">
        <v>104</v>
      </c>
    </row>
    <row r="7" spans="3:5">
      <c r="C7" s="10" t="s">
        <v>35</v>
      </c>
      <c r="D7" s="10">
        <v>0.75</v>
      </c>
      <c r="E7" s="10" t="s">
        <v>104</v>
      </c>
    </row>
    <row r="8" spans="3:5">
      <c r="C8" s="57" t="s">
        <v>40</v>
      </c>
      <c r="D8" s="57">
        <v>0.06</v>
      </c>
      <c r="E8" s="57" t="s">
        <v>105</v>
      </c>
    </row>
    <row r="9" spans="3:5">
      <c r="C9" s="57" t="s">
        <v>46</v>
      </c>
      <c r="D9" s="57">
        <v>0.27</v>
      </c>
      <c r="E9" s="57" t="s">
        <v>105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F89292C012C2479FFB735AA241FF35" ma:contentTypeVersion="17" ma:contentTypeDescription="Crie um novo documento." ma:contentTypeScope="" ma:versionID="bc15154c8b87a1c02a6d4814f2f1af26">
  <xsd:schema xmlns:xsd="http://www.w3.org/2001/XMLSchema" xmlns:xs="http://www.w3.org/2001/XMLSchema" xmlns:p="http://schemas.microsoft.com/office/2006/metadata/properties" xmlns:ns2="6fbcdad9-00fa-4a4d-969c-83e078d2a6f1" xmlns:ns3="d47e7df6-d698-463b-85c3-e09ca14aa3f0" xmlns:ns4="47ffba34-08b7-4d27-b83f-d9dfff633d74" targetNamespace="http://schemas.microsoft.com/office/2006/metadata/properties" ma:root="true" ma:fieldsID="505e777e68a0899577e2e501738ba85d" ns2:_="" ns3:_="" ns4:_="">
    <xsd:import namespace="6fbcdad9-00fa-4a4d-969c-83e078d2a6f1"/>
    <xsd:import namespace="d47e7df6-d698-463b-85c3-e09ca14aa3f0"/>
    <xsd:import namespace="47ffba34-08b7-4d27-b83f-d9dfff633d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4:TaxCatchAll" minOccurs="0"/>
                <xsd:element ref="ns2:MediaServiceOCR" minOccurs="0"/>
                <xsd:element ref="ns2:lcf76f155ced4ddcb4097134ff3c332f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cdad9-00fa-4a4d-969c-83e078d2a6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c3bfa979-8251-4acc-b4b6-9e70987c17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7e7df6-d698-463b-85c3-e09ca14aa3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ffba34-08b7-4d27-b83f-d9dfff633d7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ad61b6f-a6f5-48fc-a9b7-2c45fcaa7c42}" ma:internalName="TaxCatchAll" ma:showField="CatchAllData" ma:web="47ffba34-08b7-4d27-b83f-d9dfff633d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bcdad9-00fa-4a4d-969c-83e078d2a6f1">
      <Terms xmlns="http://schemas.microsoft.com/office/infopath/2007/PartnerControls"/>
    </lcf76f155ced4ddcb4097134ff3c332f>
    <TaxCatchAll xmlns="47ffba34-08b7-4d27-b83f-d9dfff633d7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82EF95-9472-49E5-9E8D-F6E3C09C9752}"/>
</file>

<file path=customXml/itemProps2.xml><?xml version="1.0" encoding="utf-8"?>
<ds:datastoreItem xmlns:ds="http://schemas.openxmlformats.org/officeDocument/2006/customXml" ds:itemID="{1BC8C73A-FC4D-414E-BD05-B6F67986F944}"/>
</file>

<file path=customXml/itemProps3.xml><?xml version="1.0" encoding="utf-8"?>
<ds:datastoreItem xmlns:ds="http://schemas.openxmlformats.org/officeDocument/2006/customXml" ds:itemID="{2A6F6734-F01F-477B-A12F-9B7C6B4C3A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Vieira da Silva</dc:creator>
  <cp:keywords/>
  <dc:description/>
  <cp:lastModifiedBy>Lucas Vieira da Silva</cp:lastModifiedBy>
  <cp:revision/>
  <dcterms:created xsi:type="dcterms:W3CDTF">2024-04-01T11:22:57Z</dcterms:created>
  <dcterms:modified xsi:type="dcterms:W3CDTF">2024-06-24T12:15:48Z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0x010100CDF89292C012C2479FFB735AA241FF35</vt:lpwstr>
  </property>
  <property fmtid="{D5CDD505-2E9C-101B-9397-08002B2CF9AE}" pid="3" name="MediaServiceImageTags">
    <vt:lpwstr/>
  </property>
</Properties>
</file>