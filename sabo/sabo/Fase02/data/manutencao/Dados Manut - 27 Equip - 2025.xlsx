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. Medições e Manutenções" sheetId="1" state="visible" r:id="rId3"/>
  </sheets>
  <definedNames>
    <definedName function="false" hidden="true" localSheetId="0" name="_xlnm._FilterDatabase" vbProcedure="false">'Hist. Medições e Manutenções'!$B$3:$F$32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<sst xmlns="http://schemas.openxmlformats.org/spreadsheetml/2006/main" count="59" uniqueCount="49">
  <si>
    <t xml:space="preserve">Histórico Manutenções (Substituições)</t>
  </si>
  <si>
    <t xml:space="preserve">Medições Cilindro</t>
  </si>
  <si>
    <t xml:space="preserve">Medições Fuso</t>
  </si>
  <si>
    <t xml:space="preserve">Equipamento</t>
  </si>
  <si>
    <t xml:space="preserve">Data execução da ultima substituição</t>
  </si>
  <si>
    <t xml:space="preserve">Data da penultima substituição</t>
  </si>
  <si>
    <t xml:space="preserve">Dias em operação</t>
  </si>
  <si>
    <t xml:space="preserve">Observações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</si>
  <si>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</si>
  <si>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</si>
  <si>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</si>
  <si>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</si>
  <si>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</si>
  <si>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Máximo</t>
  </si>
  <si>
    <t xml:space="preserve">Mínimo</t>
  </si>
  <si>
    <t xml:space="preserve">IJ-125</t>
  </si>
  <si>
    <t xml:space="preserve">CSS Prime / Substituido por peça original REP</t>
  </si>
  <si>
    <t xml:space="preserve">IJ-130</t>
  </si>
  <si>
    <t xml:space="preserve">IJ-136</t>
  </si>
  <si>
    <t xml:space="preserve">IJ-156</t>
  </si>
  <si>
    <t xml:space="preserve">IJ-044</t>
  </si>
  <si>
    <t xml:space="preserve">IJ-046</t>
  </si>
  <si>
    <t xml:space="preserve">IJ-117</t>
  </si>
  <si>
    <t xml:space="preserve">IJ-118</t>
  </si>
  <si>
    <t xml:space="preserve">IJ-119</t>
  </si>
  <si>
    <t xml:space="preserve">IJ-120</t>
  </si>
  <si>
    <t xml:space="preserve">IJ-121</t>
  </si>
  <si>
    <t xml:space="preserve">IJ-122</t>
  </si>
  <si>
    <t xml:space="preserve">IJ-123</t>
  </si>
  <si>
    <t xml:space="preserve">IJ-124</t>
  </si>
  <si>
    <t xml:space="preserve">IJ-129</t>
  </si>
  <si>
    <t xml:space="preserve">IJ-131</t>
  </si>
  <si>
    <t xml:space="preserve">IJ-132</t>
  </si>
  <si>
    <t xml:space="preserve">IJ-133</t>
  </si>
  <si>
    <t xml:space="preserve">IJ-134</t>
  </si>
  <si>
    <t xml:space="preserve">IJ-135</t>
  </si>
  <si>
    <t xml:space="preserve">IJ-137</t>
  </si>
  <si>
    <t xml:space="preserve">IJ-138</t>
  </si>
  <si>
    <t xml:space="preserve">IJ-139</t>
  </si>
  <si>
    <t xml:space="preserve">IJ-151</t>
  </si>
  <si>
    <t xml:space="preserve">IJ-152</t>
  </si>
  <si>
    <t xml:space="preserve">IJ-155 (Inferior)</t>
  </si>
  <si>
    <t xml:space="preserve">Setor de Amostras / Conjunto superior e inferior</t>
  </si>
  <si>
    <t xml:space="preserve">IJ-155 (Superior)</t>
  </si>
  <si>
    <t xml:space="preserve">IJ-164</t>
  </si>
  <si>
    <t xml:space="preserve">Média de operação</t>
  </si>
  <si>
    <t xml:space="preserve">MEDIÇÃO SEM VINCULAÇÃO DE EQUIPAMENTO</t>
  </si>
  <si>
    <t xml:space="preserve">Equipamentos sem medições</t>
  </si>
  <si>
    <t xml:space="preserve">Equipamentos não realizada as medições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</si>
</sst>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General"/>
    <numFmt numFmtId="167" formatCode="0.00"/>
    <numFmt numFmtId="168" formatCode="0"/>
  </numFmts>
  <fonts count="9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b val="true"/>
      <sz val="13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8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0000"/>
        <bgColor rgb="FF993300"/>
      </patternFill>
    </fill>
    <fill>
      <patternFill patternType="solid">
        <fgColor theme="2" tint="-0.1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1217160</xdr:colOff>
      <xdr:row>38</xdr:row>
      <xdr:rowOff>52200</xdr:rowOff>
    </xdr:from>
    <xdr:to>
      <xdr:col>5</xdr:col>
      <xdr:colOff>2159640</xdr:colOff>
      <xdr:row>50</xdr:row>
      <xdr:rowOff>51840</xdr:rowOff>
    </xdr:to>
    <xdr:pic>
      <xdr:nvPicPr>
        <xdr:cNvPr id="0" name="Imagem 1" descr=""/>
        <xdr:cNvPicPr/>
      </xdr:nvPicPr>
      <xdr:blipFill>
        <a:blip r:embed="rId1"/>
        <a:stretch/>
      </xdr:blipFill>
      <xdr:spPr>
        <a:xfrm>
          <a:off x="1926000" y="7531200"/>
          <a:ext cx="7674480" cy="22856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296280</xdr:colOff>
      <xdr:row>38</xdr:row>
      <xdr:rowOff>41760</xdr:rowOff>
    </xdr:from>
    <xdr:to>
      <xdr:col>18</xdr:col>
      <xdr:colOff>475920</xdr:colOff>
      <xdr:row>47</xdr:row>
      <xdr:rowOff>79200</xdr:rowOff>
    </xdr:to>
    <xdr:pic>
      <xdr:nvPicPr>
        <xdr:cNvPr id="1" name="Imagem 1" descr=""/>
        <xdr:cNvPicPr/>
      </xdr:nvPicPr>
      <xdr:blipFill>
        <a:blip r:embed="rId2"/>
        <a:stretch/>
      </xdr:blipFill>
      <xdr:spPr>
        <a:xfrm>
          <a:off x="11829240" y="7520760"/>
          <a:ext cx="9186480" cy="1752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S5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D15" activeCellId="0" sqref="D15"/>
    </sheetView>
  </sheetViews>
  <sheetFormatPr defaultColWidth="8.859375" defaultRowHeight="15" zeroHeight="false" outlineLevelRow="0" outlineLevelCol="0"/>
  <cols>
    <col collapsed="false" customWidth="false" hidden="false" outlineLevel="0" max="1" min="1" style="1" width="8.86"/>
    <col collapsed="false" customWidth="true" hidden="false" outlineLevel="0" max="2" min="2" style="1" width="19.86"/>
    <col collapsed="false" customWidth="true" hidden="false" outlineLevel="0" max="3" min="3" style="1" width="26.14"/>
    <col collapsed="false" customWidth="true" hidden="false" outlineLevel="0" max="4" min="4" style="1" width="24.72"/>
    <col collapsed="false" customWidth="true" hidden="false" outlineLevel="0" max="5" min="5" style="1" width="13.43"/>
    <col collapsed="false" customWidth="true" hidden="false" outlineLevel="0" max="6" min="6" style="1" width="51.15"/>
    <col collapsed="false" customWidth="false" hidden="false" outlineLevel="0" max="11" min="7" style="2" width="8.86"/>
    <col collapsed="false" customWidth="true" hidden="false" outlineLevel="0" max="12" min="12" style="2" width="11.43"/>
    <col collapsed="false" customWidth="true" hidden="false" outlineLevel="0" max="13" min="13" style="2" width="10.71"/>
    <col collapsed="false" customWidth="false" hidden="false" outlineLevel="0" max="17" min="14" style="2" width="8.86"/>
    <col collapsed="false" customWidth="true" hidden="false" outlineLevel="0" max="18" min="18" style="2" width="10.71"/>
    <col collapsed="false" customWidth="true" hidden="false" outlineLevel="0" max="19" min="19" style="2" width="10.14"/>
    <col collapsed="false" customWidth="false" hidden="false" outlineLevel="0" max="16384" min="20" style="2" width="8.86"/>
  </cols>
  <sheetData>
    <row r="2" customFormat="false" ht="15" hidden="false" customHeight="false" outlineLevel="0" collapsed="false">
      <c r="B2" s="3" t="s">
        <v>0</v>
      </c>
      <c r="C2" s="3"/>
      <c r="D2" s="3"/>
      <c r="E2" s="3"/>
      <c r="F2" s="3"/>
      <c r="G2" s="4" t="s">
        <v>1</v>
      </c>
      <c r="H2" s="4"/>
      <c r="I2" s="4"/>
      <c r="J2" s="4"/>
      <c r="K2" s="4"/>
      <c r="L2" s="4"/>
      <c r="M2" s="4"/>
      <c r="N2" s="4" t="s">
        <v>2</v>
      </c>
      <c r="O2" s="4"/>
      <c r="P2" s="4"/>
      <c r="Q2" s="4"/>
      <c r="R2" s="4"/>
      <c r="S2" s="4"/>
    </row>
    <row r="3" customFormat="false" ht="26.85" hidden="false" customHeight="false" outlineLevel="0" collapsed="false">
      <c r="B3" s="5" t="s">
        <v>3</v>
      </c>
      <c r="C3" s="6" t="s">
        <v>4</v>
      </c>
      <c r="D3" s="7" t="s">
        <v>5</v>
      </c>
      <c r="E3" s="7" t="s">
        <v>6</v>
      </c>
      <c r="F3" s="5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8</v>
      </c>
      <c r="O3" s="8" t="s">
        <v>9</v>
      </c>
      <c r="P3" s="8" t="s">
        <v>10</v>
      </c>
      <c r="Q3" s="8" t="s">
        <v>11</v>
      </c>
      <c r="R3" s="8" t="s">
        <v>13</v>
      </c>
      <c r="S3" s="8" t="s">
        <v>14</v>
      </c>
    </row>
    <row r="4" customFormat="false" ht="15" hidden="false" customHeight="false" outlineLevel="0" collapsed="false">
      <c r="A4" s="9"/>
      <c r="B4" s="10" t="s">
        <v>15</v>
      </c>
      <c r="C4" s="11" t="n">
        <v>45688</v>
      </c>
      <c r="D4" s="11" t="n">
        <v>45250</v>
      </c>
      <c r="E4" s="12" t="n">
        <f aca="false">C4-D4</f>
        <v>438</v>
      </c>
      <c r="F4" s="10" t="s">
        <v>16</v>
      </c>
      <c r="G4" s="13" t="n">
        <v>20.03</v>
      </c>
      <c r="H4" s="13" t="n">
        <v>20.02</v>
      </c>
      <c r="I4" s="13" t="n">
        <v>20.02</v>
      </c>
      <c r="J4" s="13" t="n">
        <v>20.02</v>
      </c>
      <c r="K4" s="13" t="n">
        <v>20.02</v>
      </c>
      <c r="L4" s="13" t="n">
        <f aca="false">MAX(G4:K4)</f>
        <v>20.03</v>
      </c>
      <c r="M4" s="13" t="n">
        <f aca="false">MIN(G4:K4)</f>
        <v>20.02</v>
      </c>
      <c r="N4" s="10" t="n">
        <v>19.92</v>
      </c>
      <c r="O4" s="10" t="n">
        <v>19.91</v>
      </c>
      <c r="P4" s="10" t="n">
        <v>19.9</v>
      </c>
      <c r="Q4" s="10" t="n">
        <v>19.87</v>
      </c>
      <c r="R4" s="10" t="n">
        <f aca="false">MAX(N4:Q4)</f>
        <v>19.92</v>
      </c>
      <c r="S4" s="10" t="n">
        <f aca="false">MIN(N4:Q4)</f>
        <v>19.87</v>
      </c>
    </row>
    <row r="5" customFormat="false" ht="15" hidden="false" customHeight="false" outlineLevel="0" collapsed="false">
      <c r="A5" s="9"/>
      <c r="B5" s="10" t="s">
        <v>17</v>
      </c>
      <c r="C5" s="14" t="n">
        <v>45934</v>
      </c>
      <c r="D5" s="14" t="n">
        <v>45430</v>
      </c>
      <c r="E5" s="10" t="n">
        <f aca="false">C5-D5</f>
        <v>504</v>
      </c>
      <c r="F5" s="10" t="s">
        <v>16</v>
      </c>
      <c r="G5" s="13" t="n">
        <v>20.04</v>
      </c>
      <c r="H5" s="13" t="n">
        <v>20.01</v>
      </c>
      <c r="I5" s="13" t="n">
        <v>20.02</v>
      </c>
      <c r="J5" s="13" t="n">
        <v>20.02</v>
      </c>
      <c r="K5" s="13" t="n">
        <v>20.02</v>
      </c>
      <c r="L5" s="13" t="n">
        <v>20.04</v>
      </c>
      <c r="M5" s="13" t="n">
        <v>20.01</v>
      </c>
      <c r="N5" s="13" t="n">
        <v>20.08</v>
      </c>
      <c r="O5" s="13" t="n">
        <v>20.07</v>
      </c>
      <c r="P5" s="13" t="n">
        <v>20.04</v>
      </c>
      <c r="Q5" s="13" t="n">
        <v>20.05</v>
      </c>
      <c r="R5" s="13" t="n">
        <v>20.08</v>
      </c>
      <c r="S5" s="13" t="n">
        <v>20.04</v>
      </c>
    </row>
    <row r="6" customFormat="false" ht="15" hidden="false" customHeight="false" outlineLevel="0" collapsed="false">
      <c r="A6" s="9"/>
      <c r="B6" s="10" t="s">
        <v>18</v>
      </c>
      <c r="C6" s="14" t="n">
        <v>45962</v>
      </c>
      <c r="D6" s="14" t="n">
        <v>45430</v>
      </c>
      <c r="E6" s="10" t="n">
        <f aca="false">C6-D6</f>
        <v>532</v>
      </c>
      <c r="F6" s="10" t="s">
        <v>16</v>
      </c>
      <c r="G6" s="13" t="n">
        <v>20.02</v>
      </c>
      <c r="H6" s="13" t="n">
        <v>20.04</v>
      </c>
      <c r="I6" s="13" t="n">
        <v>20.05</v>
      </c>
      <c r="J6" s="13" t="n">
        <v>20.05</v>
      </c>
      <c r="K6" s="13" t="n">
        <v>20.06</v>
      </c>
      <c r="L6" s="13" t="n">
        <v>20.06</v>
      </c>
      <c r="M6" s="13" t="n">
        <v>20.02</v>
      </c>
      <c r="N6" s="15"/>
      <c r="O6" s="15"/>
      <c r="P6" s="15"/>
      <c r="Q6" s="15"/>
      <c r="R6" s="15"/>
      <c r="S6" s="15"/>
    </row>
    <row r="7" customFormat="false" ht="15" hidden="false" customHeight="false" outlineLevel="0" collapsed="false">
      <c r="A7" s="9"/>
      <c r="B7" s="10" t="s">
        <v>19</v>
      </c>
      <c r="C7" s="14" t="n">
        <v>45941</v>
      </c>
      <c r="D7" s="14" t="n">
        <v>45431</v>
      </c>
      <c r="E7" s="10" t="n">
        <f aca="false">C7-D7</f>
        <v>510</v>
      </c>
      <c r="F7" s="10" t="s">
        <v>16</v>
      </c>
      <c r="G7" s="13" t="n">
        <v>20.05</v>
      </c>
      <c r="H7" s="13" t="n">
        <v>20.2</v>
      </c>
      <c r="I7" s="13" t="n">
        <v>20.4</v>
      </c>
      <c r="J7" s="13" t="n">
        <v>20.5</v>
      </c>
      <c r="K7" s="13" t="n">
        <v>20.6</v>
      </c>
      <c r="L7" s="13" t="n">
        <v>20.6</v>
      </c>
      <c r="M7" s="13" t="n">
        <v>20.05</v>
      </c>
      <c r="N7" s="13" t="n">
        <v>19.37</v>
      </c>
      <c r="O7" s="13" t="n">
        <v>19.08</v>
      </c>
      <c r="P7" s="13" t="n">
        <v>18.94</v>
      </c>
      <c r="Q7" s="13" t="n">
        <v>18.3</v>
      </c>
      <c r="R7" s="13" t="n">
        <v>19.37</v>
      </c>
      <c r="S7" s="13" t="n">
        <v>18.3</v>
      </c>
    </row>
    <row r="8" customFormat="false" ht="15" hidden="false" customHeight="false" outlineLevel="0" collapsed="false">
      <c r="B8" s="10" t="s">
        <v>20</v>
      </c>
      <c r="C8" s="14" t="n">
        <v>46017</v>
      </c>
      <c r="D8" s="14" t="n">
        <v>45438</v>
      </c>
      <c r="E8" s="10" t="n">
        <f aca="false">C8-D8</f>
        <v>579</v>
      </c>
      <c r="F8" s="10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</row>
    <row r="9" customFormat="false" ht="15" hidden="false" customHeight="false" outlineLevel="0" collapsed="false">
      <c r="B9" s="10" t="s">
        <v>21</v>
      </c>
      <c r="C9" s="14" t="n">
        <v>45662</v>
      </c>
      <c r="D9" s="14" t="n">
        <v>45319</v>
      </c>
      <c r="E9" s="10" t="n">
        <f aca="false">C9-D9</f>
        <v>343</v>
      </c>
      <c r="F9" s="10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</row>
    <row r="10" customFormat="false" ht="15" hidden="false" customHeight="false" outlineLevel="0" collapsed="false">
      <c r="B10" s="10" t="s">
        <v>22</v>
      </c>
      <c r="C10" s="14" t="n">
        <v>45828</v>
      </c>
      <c r="D10" s="14" t="n">
        <v>45332</v>
      </c>
      <c r="E10" s="10" t="n">
        <f aca="false">C10-D10</f>
        <v>496</v>
      </c>
      <c r="F10" s="10"/>
      <c r="G10" s="13" t="n">
        <v>20.05</v>
      </c>
      <c r="H10" s="13" t="n">
        <v>20.28</v>
      </c>
      <c r="I10" s="13" t="n">
        <v>20.5</v>
      </c>
      <c r="J10" s="13" t="n">
        <v>20.5</v>
      </c>
      <c r="K10" s="13" t="n">
        <v>20.5</v>
      </c>
      <c r="L10" s="13" t="n">
        <f aca="false">MAX(G10:K10)</f>
        <v>20.5</v>
      </c>
      <c r="M10" s="13" t="n">
        <f aca="false">MIN(G10:K10)</f>
        <v>20.05</v>
      </c>
      <c r="N10" s="15"/>
      <c r="O10" s="15"/>
      <c r="P10" s="15"/>
      <c r="Q10" s="15"/>
      <c r="R10" s="15"/>
      <c r="S10" s="15"/>
    </row>
    <row r="11" customFormat="false" ht="15" hidden="false" customHeight="false" outlineLevel="0" collapsed="false">
      <c r="B11" s="10" t="s">
        <v>23</v>
      </c>
      <c r="C11" s="14" t="n">
        <v>45718</v>
      </c>
      <c r="D11" s="14" t="n">
        <v>45333</v>
      </c>
      <c r="E11" s="10" t="n">
        <f aca="false">C11-D11</f>
        <v>385</v>
      </c>
      <c r="F11" s="10"/>
      <c r="G11" s="13" t="n">
        <v>20.05</v>
      </c>
      <c r="H11" s="13" t="n">
        <v>20.02</v>
      </c>
      <c r="I11" s="13" t="n">
        <v>20.2</v>
      </c>
      <c r="J11" s="13" t="n">
        <v>20.4</v>
      </c>
      <c r="K11" s="13" t="n">
        <v>20.5</v>
      </c>
      <c r="L11" s="13" t="n">
        <f aca="false">MAX(G11:K11)</f>
        <v>20.5</v>
      </c>
      <c r="M11" s="13" t="n">
        <f aca="false">MIN(G11:K11)</f>
        <v>20.02</v>
      </c>
      <c r="N11" s="10" t="n">
        <v>19.88</v>
      </c>
      <c r="O11" s="10" t="n">
        <v>19.73</v>
      </c>
      <c r="P11" s="10" t="n">
        <v>19.46</v>
      </c>
      <c r="Q11" s="10" t="n">
        <v>18.78</v>
      </c>
      <c r="R11" s="10" t="n">
        <f aca="false">MAX(N11:Q11)</f>
        <v>19.88</v>
      </c>
      <c r="S11" s="10" t="n">
        <f aca="false">MIN(N11:Q11)</f>
        <v>18.78</v>
      </c>
    </row>
    <row r="12" customFormat="false" ht="15" hidden="false" customHeight="false" outlineLevel="0" collapsed="false">
      <c r="B12" s="10" t="s">
        <v>24</v>
      </c>
      <c r="C12" s="14" t="n">
        <v>45711</v>
      </c>
      <c r="D12" s="14" t="n">
        <v>45332</v>
      </c>
      <c r="E12" s="10" t="n">
        <f aca="false">C12-D12</f>
        <v>379</v>
      </c>
      <c r="F12" s="10"/>
      <c r="G12" s="13" t="n">
        <v>20.05</v>
      </c>
      <c r="H12" s="13" t="n">
        <v>20.05</v>
      </c>
      <c r="I12" s="13" t="n">
        <v>20.05</v>
      </c>
      <c r="J12" s="13" t="n">
        <v>20.06</v>
      </c>
      <c r="K12" s="13" t="n">
        <v>20.14</v>
      </c>
      <c r="L12" s="13" t="n">
        <f aca="false">MAX(G12:K12)</f>
        <v>20.14</v>
      </c>
      <c r="M12" s="13" t="n">
        <f aca="false">MIN(G12:K12)</f>
        <v>20.05</v>
      </c>
      <c r="N12" s="10" t="n">
        <v>19.75</v>
      </c>
      <c r="O12" s="10" t="n">
        <v>19.53</v>
      </c>
      <c r="P12" s="10" t="n">
        <v>19.41</v>
      </c>
      <c r="Q12" s="10" t="n">
        <v>19.18</v>
      </c>
      <c r="R12" s="10" t="n">
        <f aca="false">MAX(N12:Q12)</f>
        <v>19.75</v>
      </c>
      <c r="S12" s="10" t="n">
        <f aca="false">MIN(N12:Q12)</f>
        <v>19.18</v>
      </c>
    </row>
    <row r="13" customFormat="false" ht="15" hidden="false" customHeight="false" outlineLevel="0" collapsed="false">
      <c r="B13" s="10" t="s">
        <v>25</v>
      </c>
      <c r="C13" s="14" t="n">
        <v>45752</v>
      </c>
      <c r="D13" s="14" t="n">
        <v>45346</v>
      </c>
      <c r="E13" s="10" t="n">
        <f aca="false">C13-D13</f>
        <v>406</v>
      </c>
      <c r="F13" s="10"/>
      <c r="G13" s="13" t="n">
        <v>20.05</v>
      </c>
      <c r="H13" s="13" t="n">
        <v>20.015</v>
      </c>
      <c r="I13" s="13" t="n">
        <v>20.02</v>
      </c>
      <c r="J13" s="13" t="n">
        <v>20.025</v>
      </c>
      <c r="K13" s="13" t="n">
        <v>20.03</v>
      </c>
      <c r="L13" s="13" t="n">
        <f aca="false">MAX(G13:K13)</f>
        <v>20.05</v>
      </c>
      <c r="M13" s="13" t="n">
        <f aca="false">MIN(G13:K13)</f>
        <v>20.015</v>
      </c>
      <c r="N13" s="10" t="n">
        <v>19.49</v>
      </c>
      <c r="O13" s="10" t="n">
        <v>19.51</v>
      </c>
      <c r="P13" s="10" t="n">
        <v>19.58</v>
      </c>
      <c r="Q13" s="10" t="n">
        <v>19.52</v>
      </c>
      <c r="R13" s="10" t="n">
        <f aca="false">MAX(N13:Q13)</f>
        <v>19.58</v>
      </c>
      <c r="S13" s="10" t="n">
        <f aca="false">MIN(N13:Q13)</f>
        <v>19.49</v>
      </c>
    </row>
    <row r="14" customFormat="false" ht="15" hidden="false" customHeight="false" outlineLevel="0" collapsed="false">
      <c r="B14" s="10" t="s">
        <v>26</v>
      </c>
      <c r="C14" s="14" t="n">
        <v>45837</v>
      </c>
      <c r="D14" s="14" t="n">
        <v>45347</v>
      </c>
      <c r="E14" s="10" t="n">
        <f aca="false">C14-D14</f>
        <v>490</v>
      </c>
      <c r="F14" s="10"/>
      <c r="G14" s="13" t="n">
        <v>20.05</v>
      </c>
      <c r="H14" s="13" t="n">
        <v>20.05</v>
      </c>
      <c r="I14" s="13" t="n">
        <v>20.08</v>
      </c>
      <c r="J14" s="13" t="n">
        <v>20.09</v>
      </c>
      <c r="K14" s="13" t="n">
        <v>20.12</v>
      </c>
      <c r="L14" s="13" t="n">
        <f aca="false">MAX(G14:K14)</f>
        <v>20.12</v>
      </c>
      <c r="M14" s="13" t="n">
        <f aca="false">MIN(G14:K14)</f>
        <v>20.05</v>
      </c>
      <c r="N14" s="10" t="n">
        <v>19.8</v>
      </c>
      <c r="O14" s="10" t="n">
        <v>19.65</v>
      </c>
      <c r="P14" s="10" t="n">
        <v>19.53</v>
      </c>
      <c r="Q14" s="10" t="n">
        <v>19.49</v>
      </c>
      <c r="R14" s="10" t="n">
        <f aca="false">MAX(N14:Q14)</f>
        <v>19.8</v>
      </c>
      <c r="S14" s="10" t="n">
        <f aca="false">MIN(N14:Q14)</f>
        <v>19.49</v>
      </c>
    </row>
    <row r="15" customFormat="false" ht="15" hidden="false" customHeight="false" outlineLevel="0" collapsed="false">
      <c r="B15" s="10" t="s">
        <v>27</v>
      </c>
      <c r="C15" s="14" t="n">
        <v>45794</v>
      </c>
      <c r="D15" s="14" t="n">
        <v>45346</v>
      </c>
      <c r="E15" s="10" t="n">
        <f aca="false">C15-D15</f>
        <v>448</v>
      </c>
      <c r="F15" s="10"/>
      <c r="G15" s="13" t="n">
        <v>20</v>
      </c>
      <c r="H15" s="13" t="n">
        <v>20</v>
      </c>
      <c r="I15" s="13" t="n">
        <v>20</v>
      </c>
      <c r="J15" s="13" t="n">
        <v>20</v>
      </c>
      <c r="K15" s="13" t="n">
        <v>20</v>
      </c>
      <c r="L15" s="13" t="n">
        <f aca="false">MAX(G15:K15)</f>
        <v>20</v>
      </c>
      <c r="M15" s="13" t="n">
        <f aca="false">MIN(G15:K15)</f>
        <v>20</v>
      </c>
      <c r="N15" s="10" t="n">
        <v>19.8</v>
      </c>
      <c r="O15" s="10" t="n">
        <v>19.81</v>
      </c>
      <c r="P15" s="10" t="n">
        <v>19.87</v>
      </c>
      <c r="Q15" s="10" t="n">
        <v>19.87</v>
      </c>
      <c r="R15" s="10" t="n">
        <f aca="false">MAX(N15:Q15)</f>
        <v>19.87</v>
      </c>
      <c r="S15" s="10" t="n">
        <f aca="false">MIN(N15:Q15)</f>
        <v>19.8</v>
      </c>
    </row>
    <row r="16" customFormat="false" ht="15" hidden="false" customHeight="false" outlineLevel="0" collapsed="false">
      <c r="B16" s="10" t="s">
        <v>28</v>
      </c>
      <c r="C16" s="14" t="n">
        <v>45717</v>
      </c>
      <c r="D16" s="14" t="n">
        <v>45333</v>
      </c>
      <c r="E16" s="10" t="n">
        <f aca="false">C16-D16</f>
        <v>384</v>
      </c>
      <c r="F16" s="10"/>
      <c r="G16" s="13" t="n">
        <v>20.04</v>
      </c>
      <c r="H16" s="13" t="n">
        <v>20.04</v>
      </c>
      <c r="I16" s="13" t="n">
        <v>20.06</v>
      </c>
      <c r="J16" s="13" t="n">
        <v>20.07</v>
      </c>
      <c r="K16" s="13" t="n">
        <v>20.07</v>
      </c>
      <c r="L16" s="13" t="n">
        <f aca="false">MAX(G16:K16)</f>
        <v>20.07</v>
      </c>
      <c r="M16" s="13" t="n">
        <f aca="false">MIN(G16:K16)</f>
        <v>20.04</v>
      </c>
      <c r="N16" s="10" t="n">
        <v>19.8</v>
      </c>
      <c r="O16" s="10" t="n">
        <v>19.72</v>
      </c>
      <c r="P16" s="10" t="n">
        <v>19.67</v>
      </c>
      <c r="Q16" s="10" t="n">
        <v>19.59</v>
      </c>
      <c r="R16" s="10" t="n">
        <f aca="false">MAX(N16:Q16)</f>
        <v>19.8</v>
      </c>
      <c r="S16" s="10" t="n">
        <f aca="false">MIN(N16:Q16)</f>
        <v>19.59</v>
      </c>
    </row>
    <row r="17" customFormat="false" ht="15" hidden="false" customHeight="false" outlineLevel="0" collapsed="false">
      <c r="B17" s="10" t="s">
        <v>29</v>
      </c>
      <c r="C17" s="14" t="n">
        <v>45661</v>
      </c>
      <c r="D17" s="14" t="n">
        <v>45329</v>
      </c>
      <c r="E17" s="10" t="n">
        <f aca="false">C17-D17</f>
        <v>332</v>
      </c>
      <c r="F17" s="10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</row>
    <row r="18" customFormat="false" ht="15" hidden="false" customHeight="false" outlineLevel="0" collapsed="false">
      <c r="B18" s="10" t="s">
        <v>30</v>
      </c>
      <c r="C18" s="14" t="n">
        <v>45780</v>
      </c>
      <c r="D18" s="14" t="n">
        <v>45347</v>
      </c>
      <c r="E18" s="10" t="n">
        <f aca="false">C18-D18</f>
        <v>433</v>
      </c>
      <c r="F18" s="10"/>
      <c r="G18" s="13" t="n">
        <v>20.05</v>
      </c>
      <c r="H18" s="13" t="n">
        <v>20.18</v>
      </c>
      <c r="I18" s="13" t="n">
        <v>20.28</v>
      </c>
      <c r="J18" s="13" t="n">
        <v>20.34</v>
      </c>
      <c r="K18" s="13" t="n">
        <v>20.5</v>
      </c>
      <c r="L18" s="13" t="n">
        <f aca="false">MAX(G18:K18)</f>
        <v>20.5</v>
      </c>
      <c r="M18" s="13" t="n">
        <f aca="false">MIN(G18:K18)</f>
        <v>20.05</v>
      </c>
      <c r="N18" s="10" t="n">
        <v>19.82</v>
      </c>
      <c r="O18" s="10" t="n">
        <v>19.59</v>
      </c>
      <c r="P18" s="10" t="n">
        <v>19.41</v>
      </c>
      <c r="Q18" s="10" t="n">
        <v>18.5</v>
      </c>
      <c r="R18" s="10" t="n">
        <f aca="false">MAX(N18:Q18)</f>
        <v>19.82</v>
      </c>
      <c r="S18" s="10" t="n">
        <f aca="false">MIN(N18:Q18)</f>
        <v>18.5</v>
      </c>
    </row>
    <row r="19" customFormat="false" ht="15" hidden="false" customHeight="false" outlineLevel="0" collapsed="false">
      <c r="B19" s="10" t="s">
        <v>31</v>
      </c>
      <c r="C19" s="14" t="n">
        <v>45703</v>
      </c>
      <c r="D19" s="14" t="n">
        <v>45347</v>
      </c>
      <c r="E19" s="10" t="n">
        <f aca="false">C19-D19</f>
        <v>356</v>
      </c>
      <c r="F19" s="10"/>
      <c r="G19" s="13" t="n">
        <v>20</v>
      </c>
      <c r="H19" s="13" t="n">
        <v>20</v>
      </c>
      <c r="I19" s="13" t="n">
        <v>20</v>
      </c>
      <c r="J19" s="13" t="n">
        <v>20</v>
      </c>
      <c r="K19" s="13" t="n">
        <v>20.005</v>
      </c>
      <c r="L19" s="13" t="n">
        <f aca="false">MAX(G19:K19)</f>
        <v>20.005</v>
      </c>
      <c r="M19" s="13" t="n">
        <f aca="false">MIN(G19:K19)</f>
        <v>20</v>
      </c>
      <c r="N19" s="10" t="n">
        <v>19.81</v>
      </c>
      <c r="O19" s="10" t="n">
        <v>19.8</v>
      </c>
      <c r="P19" s="10" t="n">
        <v>19.8</v>
      </c>
      <c r="Q19" s="10" t="n">
        <v>19.76</v>
      </c>
      <c r="R19" s="10" t="n">
        <f aca="false">MAX(N19:Q19)</f>
        <v>19.81</v>
      </c>
      <c r="S19" s="10" t="n">
        <f aca="false">MIN(N19:Q19)</f>
        <v>19.76</v>
      </c>
    </row>
    <row r="20" customFormat="false" ht="15" hidden="false" customHeight="false" outlineLevel="0" collapsed="false">
      <c r="B20" s="10" t="s">
        <v>32</v>
      </c>
      <c r="C20" s="14" t="n">
        <v>45759</v>
      </c>
      <c r="D20" s="14" t="n">
        <v>45340</v>
      </c>
      <c r="E20" s="10" t="n">
        <f aca="false">C20-D20</f>
        <v>419</v>
      </c>
      <c r="F20" s="10"/>
      <c r="G20" s="13" t="n">
        <v>20.05</v>
      </c>
      <c r="H20" s="13" t="n">
        <v>20.005</v>
      </c>
      <c r="I20" s="13" t="n">
        <v>20.01</v>
      </c>
      <c r="J20" s="13" t="n">
        <v>20.01</v>
      </c>
      <c r="K20" s="13" t="n">
        <v>20.01</v>
      </c>
      <c r="L20" s="13" t="n">
        <f aca="false">MAX(G20:K20)</f>
        <v>20.05</v>
      </c>
      <c r="M20" s="13" t="n">
        <f aca="false">MIN(G20:K20)</f>
        <v>20.005</v>
      </c>
      <c r="N20" s="10" t="n">
        <v>19.71</v>
      </c>
      <c r="O20" s="10" t="n">
        <v>19.77</v>
      </c>
      <c r="P20" s="10" t="n">
        <v>19.82</v>
      </c>
      <c r="Q20" s="10" t="n">
        <v>19.76</v>
      </c>
      <c r="R20" s="10" t="n">
        <f aca="false">MAX(N20:Q20)</f>
        <v>19.82</v>
      </c>
      <c r="S20" s="10" t="n">
        <f aca="false">MIN(N20:Q20)</f>
        <v>19.71</v>
      </c>
    </row>
    <row r="21" customFormat="false" ht="15" hidden="false" customHeight="false" outlineLevel="0" collapsed="false">
      <c r="B21" s="10" t="s">
        <v>33</v>
      </c>
      <c r="C21" s="14" t="n">
        <v>45843</v>
      </c>
      <c r="D21" s="14" t="n">
        <v>45353</v>
      </c>
      <c r="E21" s="10" t="n">
        <f aca="false">C21-D21</f>
        <v>490</v>
      </c>
      <c r="F21" s="10"/>
      <c r="G21" s="13" t="n">
        <v>20.06</v>
      </c>
      <c r="H21" s="13" t="n">
        <v>20.06</v>
      </c>
      <c r="I21" s="13" t="n">
        <v>20.06</v>
      </c>
      <c r="J21" s="13" t="n">
        <v>20.08</v>
      </c>
      <c r="K21" s="13" t="n">
        <v>20.08</v>
      </c>
      <c r="L21" s="13" t="n">
        <f aca="false">MAX(G21:K21)</f>
        <v>20.08</v>
      </c>
      <c r="M21" s="13" t="n">
        <f aca="false">MIN(G21:K21)</f>
        <v>20.06</v>
      </c>
      <c r="N21" s="10" t="n">
        <v>19.81</v>
      </c>
      <c r="O21" s="10" t="n">
        <v>19.64</v>
      </c>
      <c r="P21" s="10" t="n">
        <v>19.55</v>
      </c>
      <c r="Q21" s="10" t="n">
        <v>19.52</v>
      </c>
      <c r="R21" s="10" t="n">
        <f aca="false">MAX(N21:Q21)</f>
        <v>19.81</v>
      </c>
      <c r="S21" s="10" t="n">
        <f aca="false">MIN(N21:Q21)</f>
        <v>19.52</v>
      </c>
    </row>
    <row r="22" customFormat="false" ht="15" hidden="false" customHeight="false" outlineLevel="0" collapsed="false">
      <c r="B22" s="10" t="s">
        <v>34</v>
      </c>
      <c r="C22" s="14" t="n">
        <v>45876</v>
      </c>
      <c r="D22" s="14" t="n">
        <v>45353</v>
      </c>
      <c r="E22" s="10" t="n">
        <f aca="false">C22-D22</f>
        <v>523</v>
      </c>
      <c r="F22" s="10"/>
      <c r="G22" s="13" t="n">
        <v>20.3</v>
      </c>
      <c r="H22" s="13" t="n">
        <v>20.3</v>
      </c>
      <c r="I22" s="13" t="n">
        <v>20.35</v>
      </c>
      <c r="J22" s="13" t="n">
        <v>20.46</v>
      </c>
      <c r="K22" s="13" t="n">
        <v>20.58</v>
      </c>
      <c r="L22" s="13" t="n">
        <f aca="false">MAX(G22:K22)</f>
        <v>20.58</v>
      </c>
      <c r="M22" s="13" t="n">
        <f aca="false">MIN(G22:K22)</f>
        <v>20.3</v>
      </c>
      <c r="N22" s="10" t="n">
        <v>19.74</v>
      </c>
      <c r="O22" s="10" t="n">
        <v>19.23</v>
      </c>
      <c r="P22" s="10" t="n">
        <v>18.69</v>
      </c>
      <c r="Q22" s="10" t="n">
        <v>17.95</v>
      </c>
      <c r="R22" s="10" t="n">
        <f aca="false">MAX(N22:Q22)</f>
        <v>19.74</v>
      </c>
      <c r="S22" s="10" t="n">
        <f aca="false">MIN(N22:Q22)</f>
        <v>17.95</v>
      </c>
    </row>
    <row r="23" customFormat="false" ht="15" hidden="false" customHeight="false" outlineLevel="0" collapsed="false">
      <c r="B23" s="10" t="s">
        <v>35</v>
      </c>
      <c r="C23" s="14" t="n">
        <v>45845</v>
      </c>
      <c r="D23" s="14" t="n">
        <v>45353</v>
      </c>
      <c r="E23" s="10" t="n">
        <f aca="false">C23-D23</f>
        <v>492</v>
      </c>
      <c r="F23" s="10"/>
      <c r="G23" s="13" t="n">
        <v>20</v>
      </c>
      <c r="H23" s="13" t="n">
        <v>20</v>
      </c>
      <c r="I23" s="13" t="n">
        <v>20</v>
      </c>
      <c r="J23" s="13" t="n">
        <v>20</v>
      </c>
      <c r="K23" s="13" t="n">
        <v>20</v>
      </c>
      <c r="L23" s="13" t="n">
        <f aca="false">MAX(G23:K23)</f>
        <v>20</v>
      </c>
      <c r="M23" s="13" t="n">
        <f aca="false">MIN(G23:K23)</f>
        <v>20</v>
      </c>
      <c r="N23" s="10" t="n">
        <v>19.83</v>
      </c>
      <c r="O23" s="10" t="n">
        <v>19.83</v>
      </c>
      <c r="P23" s="10" t="n">
        <v>19.86</v>
      </c>
      <c r="Q23" s="10" t="n">
        <v>19.85</v>
      </c>
      <c r="R23" s="10" t="n">
        <f aca="false">MAX(N23:Q23)</f>
        <v>19.86</v>
      </c>
      <c r="S23" s="10" t="n">
        <f aca="false">MIN(N23:Q23)</f>
        <v>19.83</v>
      </c>
    </row>
    <row r="24" customFormat="false" ht="15" hidden="false" customHeight="false" outlineLevel="0" collapsed="false">
      <c r="B24" s="10" t="s">
        <v>36</v>
      </c>
      <c r="C24" s="14" t="n">
        <v>45906</v>
      </c>
      <c r="D24" s="14" t="n">
        <v>45368</v>
      </c>
      <c r="E24" s="10" t="n">
        <f aca="false">C24-D24</f>
        <v>538</v>
      </c>
      <c r="F24" s="10"/>
      <c r="G24" s="13" t="n">
        <v>20.02</v>
      </c>
      <c r="H24" s="13" t="n">
        <v>20.3</v>
      </c>
      <c r="I24" s="13" t="n">
        <v>20.5</v>
      </c>
      <c r="J24" s="13" t="n">
        <v>20.55</v>
      </c>
      <c r="K24" s="13" t="n">
        <v>20.4</v>
      </c>
      <c r="L24" s="13" t="n">
        <f aca="false">MAX(G24:K24)</f>
        <v>20.55</v>
      </c>
      <c r="M24" s="13" t="n">
        <f aca="false">MIN(G24:K24)</f>
        <v>20.02</v>
      </c>
      <c r="N24" s="13" t="n">
        <v>19.01</v>
      </c>
      <c r="O24" s="13" t="n">
        <v>18.69</v>
      </c>
      <c r="P24" s="13" t="n">
        <v>18.88</v>
      </c>
      <c r="Q24" s="13" t="n">
        <v>18.26</v>
      </c>
      <c r="R24" s="13" t="n">
        <v>19.01</v>
      </c>
      <c r="S24" s="13" t="n">
        <f aca="false">MIN(N24:Q24)</f>
        <v>18.26</v>
      </c>
    </row>
    <row r="25" customFormat="false" ht="15" hidden="false" customHeight="false" outlineLevel="0" collapsed="false">
      <c r="B25" s="10" t="s">
        <v>37</v>
      </c>
      <c r="C25" s="14" t="n">
        <v>45906</v>
      </c>
      <c r="D25" s="14" t="n">
        <v>45367</v>
      </c>
      <c r="E25" s="10" t="n">
        <f aca="false">C25-D25</f>
        <v>539</v>
      </c>
      <c r="F25" s="10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</row>
    <row r="26" customFormat="false" ht="15" hidden="false" customHeight="false" outlineLevel="0" collapsed="false">
      <c r="B26" s="10" t="s">
        <v>38</v>
      </c>
      <c r="C26" s="14" t="n">
        <v>45696</v>
      </c>
      <c r="D26" s="14" t="n">
        <v>45354</v>
      </c>
      <c r="E26" s="10" t="n">
        <f aca="false">C26-D26</f>
        <v>342</v>
      </c>
      <c r="F26" s="10"/>
      <c r="G26" s="13" t="n">
        <v>20.05</v>
      </c>
      <c r="H26" s="13" t="n">
        <v>20.02</v>
      </c>
      <c r="I26" s="13" t="n">
        <v>20.05</v>
      </c>
      <c r="J26" s="13" t="n">
        <v>20.05</v>
      </c>
      <c r="K26" s="13" t="n">
        <v>20.06</v>
      </c>
      <c r="L26" s="13" t="n">
        <f aca="false">MAX(G26:K26)</f>
        <v>20.06</v>
      </c>
      <c r="M26" s="13" t="n">
        <f aca="false">MIN(G26:K26)</f>
        <v>20.02</v>
      </c>
      <c r="N26" s="10" t="n">
        <v>19.52</v>
      </c>
      <c r="O26" s="10" t="n">
        <v>19.45</v>
      </c>
      <c r="P26" s="10" t="n">
        <v>19.31</v>
      </c>
      <c r="Q26" s="10" t="n">
        <v>19.33</v>
      </c>
      <c r="R26" s="10" t="n">
        <f aca="false">MAX(N26:Q26)</f>
        <v>19.52</v>
      </c>
      <c r="S26" s="10" t="n">
        <f aca="false">MIN(N26:Q26)</f>
        <v>19.31</v>
      </c>
    </row>
    <row r="27" customFormat="false" ht="15" hidden="false" customHeight="true" outlineLevel="0" collapsed="false">
      <c r="B27" s="10" t="s">
        <v>39</v>
      </c>
      <c r="C27" s="14" t="n">
        <v>45929</v>
      </c>
      <c r="D27" s="14" t="n">
        <v>45360</v>
      </c>
      <c r="E27" s="10" t="n">
        <f aca="false">C27-D27</f>
        <v>569</v>
      </c>
      <c r="F27" s="10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</row>
    <row r="28" customFormat="false" ht="15" hidden="false" customHeight="true" outlineLevel="0" collapsed="false">
      <c r="B28" s="10" t="s">
        <v>40</v>
      </c>
      <c r="C28" s="14" t="n">
        <v>45886</v>
      </c>
      <c r="D28" s="14" t="n">
        <v>45360</v>
      </c>
      <c r="E28" s="10" t="n">
        <f aca="false">C28-D28</f>
        <v>526</v>
      </c>
      <c r="F28" s="10"/>
      <c r="G28" s="13" t="n">
        <v>20.02</v>
      </c>
      <c r="H28" s="13" t="n">
        <v>20.02</v>
      </c>
      <c r="I28" s="13" t="n">
        <v>20.03</v>
      </c>
      <c r="J28" s="13" t="n">
        <v>20.06</v>
      </c>
      <c r="K28" s="13" t="n">
        <v>20.08</v>
      </c>
      <c r="L28" s="13" t="n">
        <v>20.08</v>
      </c>
      <c r="M28" s="13" t="n">
        <v>20.02</v>
      </c>
      <c r="N28" s="13" t="n">
        <v>19.18</v>
      </c>
      <c r="O28" s="13" t="n">
        <v>19.06</v>
      </c>
      <c r="P28" s="13" t="n">
        <v>19.05</v>
      </c>
      <c r="Q28" s="13" t="n">
        <v>18.83</v>
      </c>
      <c r="R28" s="13" t="n">
        <v>19.18</v>
      </c>
      <c r="S28" s="13" t="n">
        <v>18.83</v>
      </c>
    </row>
    <row r="29" customFormat="false" ht="15" hidden="false" customHeight="true" outlineLevel="0" collapsed="false">
      <c r="B29" s="10" t="s">
        <v>41</v>
      </c>
      <c r="C29" s="14" t="n">
        <v>45724</v>
      </c>
      <c r="D29" s="14" t="n">
        <v>45367</v>
      </c>
      <c r="E29" s="10" t="n">
        <f aca="false">C29-D29</f>
        <v>357</v>
      </c>
      <c r="F29" s="10" t="s">
        <v>42</v>
      </c>
      <c r="G29" s="13" t="n">
        <v>20.02</v>
      </c>
      <c r="H29" s="13" t="n">
        <v>20.02</v>
      </c>
      <c r="I29" s="13" t="n">
        <v>20.02</v>
      </c>
      <c r="J29" s="13" t="n">
        <v>20.02</v>
      </c>
      <c r="K29" s="13" t="n">
        <v>20.02</v>
      </c>
      <c r="L29" s="13" t="n">
        <f aca="false">MAX(G29:K29)</f>
        <v>20.02</v>
      </c>
      <c r="M29" s="13" t="n">
        <f aca="false">MIN(G29:K29)</f>
        <v>20.02</v>
      </c>
      <c r="N29" s="10" t="n">
        <v>19.81</v>
      </c>
      <c r="O29" s="10" t="n">
        <v>19.81</v>
      </c>
      <c r="P29" s="10" t="n">
        <v>19.77</v>
      </c>
      <c r="Q29" s="10" t="n">
        <v>19.79</v>
      </c>
      <c r="R29" s="10" t="n">
        <f aca="false">MAX(N29:Q29)</f>
        <v>19.81</v>
      </c>
      <c r="S29" s="10" t="n">
        <f aca="false">MIN(N29:Q29)</f>
        <v>19.77</v>
      </c>
    </row>
    <row r="30" customFormat="false" ht="15" hidden="false" customHeight="false" outlineLevel="0" collapsed="false">
      <c r="B30" s="10" t="s">
        <v>43</v>
      </c>
      <c r="C30" s="14" t="n">
        <v>45724</v>
      </c>
      <c r="D30" s="14" t="n">
        <v>45367</v>
      </c>
      <c r="E30" s="10" t="n">
        <f aca="false">C30-D30</f>
        <v>357</v>
      </c>
      <c r="F30" s="10" t="s">
        <v>42</v>
      </c>
      <c r="G30" s="13" t="n">
        <v>20</v>
      </c>
      <c r="H30" s="13" t="n">
        <v>20</v>
      </c>
      <c r="I30" s="13" t="n">
        <v>20</v>
      </c>
      <c r="J30" s="13" t="n">
        <v>20</v>
      </c>
      <c r="K30" s="13" t="n">
        <v>20</v>
      </c>
      <c r="L30" s="13" t="n">
        <f aca="false">MAX(G30:K30)</f>
        <v>20</v>
      </c>
      <c r="M30" s="13" t="n">
        <f aca="false">MIN(G30:K30)</f>
        <v>20</v>
      </c>
      <c r="N30" s="10" t="n">
        <v>19.83</v>
      </c>
      <c r="O30" s="10" t="n">
        <v>19.82</v>
      </c>
      <c r="P30" s="10" t="n">
        <v>19.79</v>
      </c>
      <c r="Q30" s="10" t="n">
        <v>19.74</v>
      </c>
      <c r="R30" s="10" t="n">
        <f aca="false">MAX(N30:Q30)</f>
        <v>19.83</v>
      </c>
      <c r="S30" s="10" t="n">
        <f aca="false">MIN(N30:Q30)</f>
        <v>19.74</v>
      </c>
    </row>
    <row r="31" customFormat="false" ht="15" hidden="false" customHeight="false" outlineLevel="0" collapsed="false">
      <c r="B31" s="10" t="s">
        <v>44</v>
      </c>
      <c r="C31" s="14" t="n">
        <v>45774</v>
      </c>
      <c r="D31" s="14" t="n">
        <v>45368</v>
      </c>
      <c r="E31" s="10" t="n">
        <f aca="false">C31-D31</f>
        <v>406</v>
      </c>
      <c r="F31" s="10"/>
      <c r="G31" s="13" t="n">
        <v>20.05</v>
      </c>
      <c r="H31" s="13" t="n">
        <v>20.15</v>
      </c>
      <c r="I31" s="13" t="n">
        <v>20.3</v>
      </c>
      <c r="J31" s="13" t="n">
        <v>20.4</v>
      </c>
      <c r="K31" s="13" t="n">
        <v>20.5</v>
      </c>
      <c r="L31" s="13" t="n">
        <f aca="false">MAX(G31:K31)</f>
        <v>20.5</v>
      </c>
      <c r="M31" s="13" t="n">
        <f aca="false">MIN(G31:K31)</f>
        <v>20.05</v>
      </c>
      <c r="N31" s="10" t="n">
        <v>19.41</v>
      </c>
      <c r="O31" s="10" t="n">
        <v>19.22</v>
      </c>
      <c r="P31" s="10" t="n">
        <v>19.03</v>
      </c>
      <c r="Q31" s="10" t="n">
        <v>18.55</v>
      </c>
      <c r="R31" s="10" t="n">
        <f aca="false">MAX(N31:Q31)</f>
        <v>19.41</v>
      </c>
      <c r="S31" s="10" t="n">
        <f aca="false">MIN(N31:Q31)</f>
        <v>18.55</v>
      </c>
    </row>
    <row r="32" customFormat="false" ht="22.05" hidden="false" customHeight="false" outlineLevel="0" collapsed="false">
      <c r="B32" s="16" t="s">
        <v>45</v>
      </c>
      <c r="C32" s="16"/>
      <c r="D32" s="16"/>
      <c r="E32" s="17" t="n">
        <f aca="false">AVERAGE(E8:E31)</f>
        <v>441.208333333333</v>
      </c>
    </row>
    <row r="33" customFormat="false" ht="15" hidden="false" customHeight="true" outlineLevel="0" collapsed="false">
      <c r="B33" s="18"/>
      <c r="C33" s="18"/>
      <c r="D33" s="18"/>
      <c r="E33" s="19"/>
      <c r="F33" s="20" t="s">
        <v>46</v>
      </c>
      <c r="G33" s="21" t="n">
        <v>20.05</v>
      </c>
      <c r="H33" s="21" t="n">
        <v>20.05</v>
      </c>
      <c r="I33" s="21" t="n">
        <v>20.07</v>
      </c>
      <c r="J33" s="21" t="n">
        <v>20.17</v>
      </c>
      <c r="K33" s="21" t="n">
        <v>20.35</v>
      </c>
      <c r="L33" s="21" t="n">
        <f aca="false">MAX(G33:K33)</f>
        <v>20.35</v>
      </c>
      <c r="M33" s="21" t="n">
        <f aca="false">MIN(G33:K33)</f>
        <v>20.05</v>
      </c>
      <c r="N33" s="22" t="n">
        <v>19.78</v>
      </c>
      <c r="O33" s="22" t="n">
        <v>19.64</v>
      </c>
      <c r="P33" s="22" t="n">
        <v>19.54</v>
      </c>
      <c r="Q33" s="22" t="n">
        <v>18.61</v>
      </c>
      <c r="R33" s="22" t="n">
        <f aca="false">MAX(N33:Q33)</f>
        <v>19.78</v>
      </c>
      <c r="S33" s="22" t="n">
        <f aca="false">MIN(N33:Q33)</f>
        <v>18.61</v>
      </c>
    </row>
    <row r="34" customFormat="false" ht="15" hidden="false" customHeight="true" outlineLevel="0" collapsed="false">
      <c r="B34" s="18"/>
      <c r="C34" s="18"/>
      <c r="D34" s="18"/>
      <c r="E34" s="19"/>
      <c r="F34" s="20"/>
      <c r="G34" s="21" t="n">
        <v>20.03</v>
      </c>
      <c r="H34" s="21" t="n">
        <v>20</v>
      </c>
      <c r="I34" s="21" t="n">
        <v>20.12</v>
      </c>
      <c r="J34" s="21" t="n">
        <v>20.12</v>
      </c>
      <c r="K34" s="21" t="n">
        <v>20.25</v>
      </c>
      <c r="L34" s="21" t="n">
        <v>20.28</v>
      </c>
      <c r="M34" s="21" t="n">
        <f aca="false">MIN(G34:K34)</f>
        <v>20</v>
      </c>
      <c r="N34" s="22" t="n">
        <v>19.65</v>
      </c>
      <c r="O34" s="22" t="n">
        <v>19.43</v>
      </c>
      <c r="P34" s="22" t="n">
        <v>19.41</v>
      </c>
      <c r="Q34" s="22" t="n">
        <v>18.58</v>
      </c>
      <c r="R34" s="22" t="n">
        <f aca="false">MAX(N34:Q34)</f>
        <v>19.65</v>
      </c>
      <c r="S34" s="22" t="n">
        <f aca="false">MIN(N34:Q34)</f>
        <v>18.58</v>
      </c>
    </row>
    <row r="35" customFormat="false" ht="15" hidden="false" customHeight="true" outlineLevel="0" collapsed="false">
      <c r="B35" s="23"/>
      <c r="C35" s="24" t="s">
        <v>47</v>
      </c>
      <c r="D35" s="24"/>
      <c r="E35" s="24"/>
      <c r="F35" s="20"/>
      <c r="G35" s="21" t="n">
        <v>20.03</v>
      </c>
      <c r="H35" s="21" t="n">
        <v>20.05</v>
      </c>
      <c r="I35" s="21" t="n">
        <v>20.06</v>
      </c>
      <c r="J35" s="21" t="n">
        <v>20.07</v>
      </c>
      <c r="K35" s="21" t="n">
        <v>20.9</v>
      </c>
      <c r="L35" s="21" t="n">
        <f aca="false">MAX(G35:K35)</f>
        <v>20.9</v>
      </c>
      <c r="M35" s="21" t="n">
        <f aca="false">MIN(G35:K35)</f>
        <v>20.03</v>
      </c>
      <c r="N35" s="22" t="n">
        <v>19.36</v>
      </c>
      <c r="O35" s="22" t="n">
        <v>19.26</v>
      </c>
      <c r="P35" s="22" t="n">
        <v>19.15</v>
      </c>
      <c r="Q35" s="22" t="n">
        <v>19.15</v>
      </c>
      <c r="R35" s="22" t="n">
        <f aca="false">MAX(N35:Q35)</f>
        <v>19.36</v>
      </c>
      <c r="S35" s="22" t="n">
        <f aca="false">MIN(N35:Q35)</f>
        <v>19.15</v>
      </c>
    </row>
    <row r="36" customFormat="false" ht="15" hidden="false" customHeight="true" outlineLevel="0" collapsed="false">
      <c r="B36" s="18"/>
      <c r="C36" s="18"/>
      <c r="D36" s="18"/>
      <c r="E36" s="19"/>
      <c r="F36" s="20"/>
      <c r="G36" s="21" t="n">
        <v>20.02</v>
      </c>
      <c r="H36" s="21" t="n">
        <v>20.03</v>
      </c>
      <c r="I36" s="21" t="n">
        <v>20.03</v>
      </c>
      <c r="J36" s="21" t="n">
        <v>20.03</v>
      </c>
      <c r="K36" s="21" t="n">
        <v>20.03</v>
      </c>
      <c r="L36" s="21" t="n">
        <f aca="false">MAX(G36:K36)</f>
        <v>20.03</v>
      </c>
      <c r="M36" s="21" t="n">
        <f aca="false">MIN(G36:K36)</f>
        <v>20.02</v>
      </c>
    </row>
    <row r="37" customFormat="false" ht="15" hidden="false" customHeight="true" outlineLevel="0" collapsed="false">
      <c r="B37" s="18"/>
      <c r="C37" s="18"/>
      <c r="D37" s="18"/>
      <c r="E37" s="19"/>
      <c r="F37" s="20"/>
      <c r="G37" s="21" t="n">
        <v>20.02</v>
      </c>
      <c r="H37" s="21" t="n">
        <v>20.02</v>
      </c>
      <c r="I37" s="21" t="n">
        <v>20</v>
      </c>
      <c r="J37" s="21" t="n">
        <v>20</v>
      </c>
      <c r="K37" s="21" t="n">
        <v>20</v>
      </c>
      <c r="L37" s="21" t="n">
        <f aca="false">MAX(G37:K37)</f>
        <v>20.02</v>
      </c>
      <c r="M37" s="21" t="n">
        <f aca="false">MIN(G37:K37)</f>
        <v>20</v>
      </c>
      <c r="N37" s="23"/>
      <c r="O37" s="25" t="s">
        <v>48</v>
      </c>
      <c r="P37" s="25"/>
      <c r="Q37" s="25"/>
      <c r="R37" s="25"/>
      <c r="S37" s="25"/>
    </row>
    <row r="38" customFormat="false" ht="15" hidden="false" customHeight="false" outlineLevel="0" collapsed="false">
      <c r="B38" s="26"/>
      <c r="C38" s="26"/>
      <c r="D38" s="26"/>
      <c r="E38" s="26"/>
      <c r="F38" s="26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</row>
    <row r="39" customFormat="false" ht="15" hidden="false" customHeight="false" outlineLevel="0" collapsed="false">
      <c r="B39" s="26"/>
      <c r="C39" s="26"/>
      <c r="D39" s="26"/>
      <c r="E39" s="26"/>
      <c r="F39" s="26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</row>
    <row r="40" customFormat="false" ht="15" hidden="false" customHeight="false" outlineLevel="0" collapsed="false">
      <c r="B40" s="26"/>
      <c r="C40" s="26"/>
      <c r="D40" s="26"/>
      <c r="E40" s="26"/>
      <c r="F40" s="26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</row>
    <row r="41" customFormat="false" ht="15" hidden="false" customHeight="false" outlineLevel="0" collapsed="false">
      <c r="B41" s="26"/>
      <c r="C41" s="26"/>
      <c r="D41" s="26"/>
      <c r="E41" s="26"/>
      <c r="F41" s="26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</row>
    <row r="42" customFormat="false" ht="15" hidden="false" customHeight="false" outlineLevel="0" collapsed="false">
      <c r="B42" s="26"/>
      <c r="C42" s="26"/>
      <c r="D42" s="26"/>
      <c r="E42" s="26"/>
      <c r="F42" s="26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</row>
    <row r="43" customFormat="false" ht="15" hidden="false" customHeight="false" outlineLevel="0" collapsed="false">
      <c r="B43" s="26"/>
      <c r="C43" s="26"/>
      <c r="D43" s="26"/>
      <c r="E43" s="26"/>
      <c r="F43" s="26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</row>
    <row r="44" customFormat="false" ht="15" hidden="false" customHeight="false" outlineLevel="0" collapsed="false">
      <c r="B44" s="26"/>
      <c r="C44" s="26"/>
      <c r="D44" s="26"/>
      <c r="E44" s="26"/>
      <c r="F44" s="26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</row>
    <row r="45" customFormat="false" ht="15" hidden="false" customHeight="false" outlineLevel="0" collapsed="false">
      <c r="B45" s="26"/>
      <c r="C45" s="26"/>
      <c r="D45" s="26"/>
      <c r="E45" s="26"/>
      <c r="F45" s="26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</row>
    <row r="46" customFormat="false" ht="15" hidden="false" customHeight="false" outlineLevel="0" collapsed="false">
      <c r="B46" s="26"/>
      <c r="C46" s="26"/>
      <c r="D46" s="26"/>
      <c r="E46" s="26"/>
      <c r="F46" s="26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</row>
    <row r="47" customFormat="false" ht="15" hidden="false" customHeight="false" outlineLevel="0" collapsed="false">
      <c r="B47" s="26"/>
      <c r="C47" s="26"/>
      <c r="D47" s="26"/>
      <c r="E47" s="26"/>
      <c r="F47" s="26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</row>
    <row r="48" customFormat="false" ht="15" hidden="false" customHeight="false" outlineLevel="0" collapsed="false">
      <c r="B48" s="26"/>
      <c r="C48" s="26"/>
      <c r="D48" s="26"/>
      <c r="E48" s="26"/>
      <c r="F48" s="26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</row>
    <row r="49" customFormat="false" ht="15" hidden="false" customHeight="false" outlineLevel="0" collapsed="false">
      <c r="B49" s="26"/>
      <c r="C49" s="26"/>
      <c r="D49" s="26"/>
      <c r="E49" s="26"/>
      <c r="F49" s="26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</row>
    <row r="50" customFormat="false" ht="15" hidden="false" customHeight="false" outlineLevel="0" collapsed="false">
      <c r="B50" s="26"/>
      <c r="C50" s="26"/>
      <c r="D50" s="26"/>
      <c r="E50" s="26"/>
      <c r="F50" s="26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</row>
    <row r="51" customFormat="false" ht="15" hidden="false" customHeight="false" outlineLevel="0" collapsed="false">
      <c r="B51" s="26"/>
      <c r="C51" s="26"/>
      <c r="D51" s="26"/>
      <c r="E51" s="26"/>
      <c r="F51" s="26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</row>
  </sheetData>
  <autoFilter ref="B3:F32"/>
  <mergeCells count="9">
    <mergeCell ref="B2:F2"/>
    <mergeCell ref="G2:M2"/>
    <mergeCell ref="N2:S2"/>
    <mergeCell ref="B32:D32"/>
    <mergeCell ref="F33:F37"/>
    <mergeCell ref="C35:E35"/>
    <mergeCell ref="O37:S37"/>
    <mergeCell ref="B38:F51"/>
    <mergeCell ref="G38:S51"/>
  </mergeCells>
  <printOptions headings="false" gridLines="false" gridLinesSet="true" horizontalCentered="true" verticalCentered="false"/>
  <pageMargins left="0.196527777777778" right="0.196527777777778" top="0.39375" bottom="0.393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2025-12-02T19:42:19Z</dcterms:created>
  <dc:creator>Michel Douglas de Paula</dc:creator>
  <dc:description/>
  <dc:language>en-US</dc:language>
  <cp:lastModifiedBy/>
  <cp:lastPrinted>2025-12-09T10:46:26Z</cp:lastPrinted>
  <dcterms:modified xsi:type="dcterms:W3CDTF">2026-02-05T16:52:58Z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